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rmanmx-my.sharepoint.com/personal/gerardo_mendozan_motodrv_com/Documents/Escritorio/Scrips Python/Scrip Sell Out Cadenas/"/>
    </mc:Choice>
  </mc:AlternateContent>
  <xr:revisionPtr revIDLastSave="343" documentId="8_{C71EAB79-BBD9-4E8F-960D-70FB45ED7BC9}" xr6:coauthVersionLast="47" xr6:coauthVersionMax="47" xr10:uidLastSave="{CCAB3FAC-26DA-47FB-B381-DC9CE8A74EB0}"/>
  <bookViews>
    <workbookView xWindow="-110" yWindow="-110" windowWidth="19420" windowHeight="11500" activeTab="1" xr2:uid="{EFB791DE-2754-410C-AEC8-D34CF3936BDE}"/>
  </bookViews>
  <sheets>
    <sheet name="Catalogo Modelos" sheetId="2" r:id="rId1"/>
    <sheet name="Sku_retail" sheetId="1" r:id="rId2"/>
  </sheets>
  <definedNames>
    <definedName name="_xlnm._FilterDatabase" localSheetId="1" hidden="1">Sku_retail!$A$1:$G$670</definedName>
    <definedName name="DatosExternos_1" localSheetId="0" hidden="1">'Catalogo Modelos'!$A$1:$O$935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5" i="1" l="1"/>
  <c r="E959" i="1"/>
  <c r="E960" i="1"/>
  <c r="E961" i="1"/>
  <c r="E962" i="1"/>
  <c r="E963" i="1"/>
  <c r="F959" i="1"/>
  <c r="F960" i="1"/>
  <c r="F961" i="1"/>
  <c r="F962" i="1"/>
  <c r="F963" i="1"/>
  <c r="G959" i="1"/>
  <c r="G960" i="1"/>
  <c r="G961" i="1"/>
  <c r="G962" i="1"/>
  <c r="G963" i="1"/>
  <c r="E954" i="1"/>
  <c r="E955" i="1"/>
  <c r="E956" i="1"/>
  <c r="E957" i="1"/>
  <c r="E958" i="1"/>
  <c r="F954" i="1"/>
  <c r="F955" i="1"/>
  <c r="F956" i="1"/>
  <c r="F957" i="1"/>
  <c r="F958" i="1"/>
  <c r="G954" i="1"/>
  <c r="G955" i="1"/>
  <c r="G956" i="1"/>
  <c r="G957" i="1"/>
  <c r="G958" i="1"/>
  <c r="E950" i="1"/>
  <c r="E951" i="1"/>
  <c r="E952" i="1"/>
  <c r="E953" i="1"/>
  <c r="F950" i="1"/>
  <c r="F951" i="1"/>
  <c r="F952" i="1"/>
  <c r="F953" i="1"/>
  <c r="G950" i="1"/>
  <c r="G951" i="1"/>
  <c r="G952" i="1"/>
  <c r="G953" i="1"/>
  <c r="E949" i="1"/>
  <c r="F949" i="1"/>
  <c r="G949" i="1"/>
  <c r="E948" i="1"/>
  <c r="F948" i="1"/>
  <c r="G948" i="1"/>
  <c r="E947" i="1"/>
  <c r="F947" i="1"/>
  <c r="G947" i="1"/>
  <c r="E946" i="1"/>
  <c r="F946" i="1"/>
  <c r="G946" i="1"/>
  <c r="E945" i="1"/>
  <c r="F945" i="1"/>
  <c r="G945" i="1"/>
  <c r="E944" i="1"/>
  <c r="F944" i="1"/>
  <c r="G944" i="1"/>
  <c r="E943" i="1"/>
  <c r="F943" i="1"/>
  <c r="G943" i="1"/>
  <c r="E937" i="1"/>
  <c r="E938" i="1"/>
  <c r="E939" i="1"/>
  <c r="E940" i="1"/>
  <c r="E941" i="1"/>
  <c r="E942" i="1"/>
  <c r="F937" i="1"/>
  <c r="F938" i="1"/>
  <c r="F939" i="1"/>
  <c r="F940" i="1"/>
  <c r="F941" i="1"/>
  <c r="F942" i="1"/>
  <c r="G937" i="1"/>
  <c r="G938" i="1"/>
  <c r="G939" i="1"/>
  <c r="G940" i="1"/>
  <c r="G941" i="1"/>
  <c r="G942" i="1"/>
  <c r="E936" i="1"/>
  <c r="F936" i="1"/>
  <c r="G936" i="1"/>
  <c r="E935" i="1"/>
  <c r="F935" i="1"/>
  <c r="G935" i="1"/>
  <c r="E934" i="1"/>
  <c r="F934" i="1"/>
  <c r="G934" i="1"/>
  <c r="E933" i="1"/>
  <c r="F933" i="1"/>
  <c r="G933" i="1"/>
  <c r="E932" i="1"/>
  <c r="F932" i="1"/>
  <c r="G932" i="1"/>
  <c r="E931" i="1"/>
  <c r="F931" i="1"/>
  <c r="G931" i="1"/>
  <c r="E930" i="1"/>
  <c r="F930" i="1"/>
  <c r="G930" i="1"/>
  <c r="E929" i="1"/>
  <c r="F929" i="1"/>
  <c r="G929" i="1"/>
  <c r="E928" i="1"/>
  <c r="F928" i="1"/>
  <c r="G928" i="1"/>
  <c r="E927" i="1"/>
  <c r="F927" i="1"/>
  <c r="G927" i="1"/>
  <c r="E926" i="1"/>
  <c r="F926" i="1"/>
  <c r="G926" i="1"/>
  <c r="E925" i="1"/>
  <c r="F925" i="1"/>
  <c r="G925" i="1"/>
  <c r="E924" i="1"/>
  <c r="F924" i="1"/>
  <c r="G924" i="1"/>
  <c r="E923" i="1" l="1"/>
  <c r="F923" i="1"/>
  <c r="G923" i="1"/>
  <c r="E922" i="1"/>
  <c r="F922" i="1"/>
  <c r="G922" i="1"/>
  <c r="E921" i="1"/>
  <c r="F921" i="1"/>
  <c r="G921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83649EF-93FB-4482-BD0C-E38D9DC5AEB5}" keepAlive="1" name="Consulta - CAT_MOD_v31" description="Conexión a la consulta 'CAT_MOD_v31' en el libro." type="5" refreshedVersion="8" background="1" saveData="1">
    <dbPr connection="Provider=Microsoft.Mashup.OleDb.1;Data Source=$Workbook$;Location=CAT_MOD_v31;Extended Properties=&quot;&quot;" command="SELECT * FROM [CAT_MOD_v31]"/>
  </connection>
</connections>
</file>

<file path=xl/sharedStrings.xml><?xml version="1.0" encoding="utf-8"?>
<sst xmlns="http://schemas.openxmlformats.org/spreadsheetml/2006/main" count="14788" uniqueCount="2614">
  <si>
    <t>Item</t>
  </si>
  <si>
    <t>Modelo</t>
  </si>
  <si>
    <t>Desc_Cadena</t>
  </si>
  <si>
    <t>COPPEL</t>
  </si>
  <si>
    <t>PULSAR 200 RS GRIS-NEGRA 22 R</t>
  </si>
  <si>
    <t>PULSAR 200 RS GRIS 21 R</t>
  </si>
  <si>
    <t>PULSAR 200 RS GRIS 22 R</t>
  </si>
  <si>
    <t>PULSAR 200 RS GRIS 23 R</t>
  </si>
  <si>
    <t>PULSAR 200 RS GRIS 24 R</t>
  </si>
  <si>
    <t>PULSAR RS200 GRIS 2025</t>
  </si>
  <si>
    <t>PULSAR 200 RS PERLA-NEGRO 22 RE</t>
  </si>
  <si>
    <t>PULSAR 200 RS PERLA 22 R</t>
  </si>
  <si>
    <t>PULSAR 200 RS PERLA 23 R</t>
  </si>
  <si>
    <t>PULSAR 200 RS PERLA 24 R</t>
  </si>
  <si>
    <t>PULSAR RS200 PERLA 2025</t>
  </si>
  <si>
    <t>Pulsar RS200 Perla 26</t>
  </si>
  <si>
    <t>PULSAR 160 NS UG GRIS 24 R</t>
  </si>
  <si>
    <t>PULSAR NS160 UG GRIS 2025</t>
  </si>
  <si>
    <t>Pulsar NS160 UG Gris 26</t>
  </si>
  <si>
    <t>PULSAR 160 NS UG NEGRA 24 R</t>
  </si>
  <si>
    <t>PULSAR NS160 UG NEGRO 2025</t>
  </si>
  <si>
    <t>PULSAR 160 NS UG PERLA 24 R</t>
  </si>
  <si>
    <t>PULSAR NS160 UG PERLA 2025</t>
  </si>
  <si>
    <t>Pulsar NS160 UG Perla 26</t>
  </si>
  <si>
    <t>PULSAR NS 125 UG 202 GRIS</t>
  </si>
  <si>
    <t>PULSAR NS125 UG GRIS 2025</t>
  </si>
  <si>
    <t>Pulsar NS125 UG Gris 26</t>
  </si>
  <si>
    <t>PULSAR NS 125 UG 202 NARANJA</t>
  </si>
  <si>
    <t>PULSAR NS125 UG NARANJA 2025</t>
  </si>
  <si>
    <t>PULSAR 200 NS UG GRIS 24 R</t>
  </si>
  <si>
    <t>PULSAR NS200 UG GRIS 2025</t>
  </si>
  <si>
    <t>Pulsar NS200 UG Gris 26</t>
  </si>
  <si>
    <t>PULSAR 200 NS UG NEGRA 24 R</t>
  </si>
  <si>
    <t>PULSAR NS200 UG NEGRO 2025</t>
  </si>
  <si>
    <t>PULSAR 200 NS UG PERLA 24 R</t>
  </si>
  <si>
    <t>PULSAR NS200 UG PERLA 2025</t>
  </si>
  <si>
    <t>PULSAR 200 NS UG ROJA 24 R</t>
  </si>
  <si>
    <t>PULSAR NS200 UG ROJO 2025</t>
  </si>
  <si>
    <t>Pulsar NS200 UG Rojo 26</t>
  </si>
  <si>
    <t>PULSAR 200 FI+ABS PERLA DICROMATICA 22 R</t>
  </si>
  <si>
    <t>PULSAR 200 FI+ABS PERLA 22 RE</t>
  </si>
  <si>
    <t>PULSAR 200 FI ROJA 22 R</t>
  </si>
  <si>
    <t>PULSAR 200 FI ROJA 23 R</t>
  </si>
  <si>
    <t>PULSAR 200 NS GRIS - NEGRA 22 R</t>
  </si>
  <si>
    <t>PULSAR 200 NS GRIS 21 R</t>
  </si>
  <si>
    <t>PULSAR 200 NS GRIS 22 R</t>
  </si>
  <si>
    <t>PULSAR 200 NS GRIS 23 R</t>
  </si>
  <si>
    <t>PULSAR 200 NS GRIS 24 R</t>
  </si>
  <si>
    <t>PULSAR NS 200CC 2024 PERLA</t>
  </si>
  <si>
    <t>PULSAR 125 NS AMARILLA 21 R</t>
  </si>
  <si>
    <t>PULSAR 125 NS AMARILLA 22 R</t>
  </si>
  <si>
    <t>PULSAR 125 NS AMARILLA 23 R</t>
  </si>
  <si>
    <t>PULSAR 125 NS AMARILLA 24 R</t>
  </si>
  <si>
    <t>PULSAR 125 NS NEGRA 21 R</t>
  </si>
  <si>
    <t>PULSAR 125 NS NEGRA 22 R</t>
  </si>
  <si>
    <t>PULSAR 125 NS NEGRA 23 R</t>
  </si>
  <si>
    <t>PULSAR 125 NS NEGRA 24 R</t>
  </si>
  <si>
    <t>PULSAR LS125 NEGRO 2025</t>
  </si>
  <si>
    <t>PULSAR 150 NEON NEGRA-AM. 22 RE</t>
  </si>
  <si>
    <t>PULSAR 150 NEON NEGRA 21 R</t>
  </si>
  <si>
    <t>PULSAR 150 NEON NEGRA 22 R</t>
  </si>
  <si>
    <t>PULSAR 220 NEON NEGRA 21 R</t>
  </si>
  <si>
    <t>PULSAR 220 NEON NEGRA 22 R</t>
  </si>
  <si>
    <t>PULSAR N 250 UG 2025 NEGRO CON ROJO</t>
  </si>
  <si>
    <t>PULSAR N 250 UG 2025 PERLA</t>
  </si>
  <si>
    <t>PULSAR 250 N- NEGRA FI+ABS 23 R</t>
  </si>
  <si>
    <t>PULSAR 250 N- NEGRA FI+ABS 24 R</t>
  </si>
  <si>
    <t>PULSAR N250 FI ABS NEGRO 2025</t>
  </si>
  <si>
    <t>PULSAR N 250 UG 2026 NEGRO</t>
  </si>
  <si>
    <t>Pulsar N250 FI ABS Perla 26</t>
  </si>
  <si>
    <t>PULSAR N250 FI ABS ROJO 2025</t>
  </si>
  <si>
    <t>PULSAR 160 N- NEGRA FI+ABS 23 R</t>
  </si>
  <si>
    <t>PULSAR 160 N- NEGRA FI+ABS 24 R</t>
  </si>
  <si>
    <t>PULSAR N160 FI ABS NEGRO 2025</t>
  </si>
  <si>
    <t>Pulsar N125 FI-CBS Purpura 26</t>
  </si>
  <si>
    <t>PULSAR N 250 CARBURA AMARILLA</t>
  </si>
  <si>
    <t>Pulsar N250 Amarillo 26</t>
  </si>
  <si>
    <t>PULSAR N 250 CARBURA NEGRO</t>
  </si>
  <si>
    <t>PULSAR 125 LS AMARILLA 24</t>
  </si>
  <si>
    <t>PULSAR 125 LS NEGRA 24</t>
  </si>
  <si>
    <t>PULSAR 160TD AZUL P-DIC. 22 RE</t>
  </si>
  <si>
    <t>PULSAR 160 TD AZUL PLASMA 21 R</t>
  </si>
  <si>
    <t>PULSAR 160 TD AZUL PLASMA 22 R</t>
  </si>
  <si>
    <t>PULSAR 160 TD AZUL PLASMA 23 R</t>
  </si>
  <si>
    <t>PULSAR 160 TD AZUL PLASMA 24 R</t>
  </si>
  <si>
    <t>PULSAR 160TD PERLA-DIC. 22 RE</t>
  </si>
  <si>
    <t>PULSAR 160 TD PERLA 22 R</t>
  </si>
  <si>
    <t>PULSAR 160 TD PERLA 23 R</t>
  </si>
  <si>
    <t>PULSAR 160 TD PERLA 24 R</t>
  </si>
  <si>
    <t>PULSAR LS125 AMARILLO 2025</t>
  </si>
  <si>
    <t>PLATINA 100 ES ROJA 21 R</t>
  </si>
  <si>
    <t>PLATINA 100 ES ROJA 22 R</t>
  </si>
  <si>
    <t>DOMINAR 400 UG NEGRA 22 R</t>
  </si>
  <si>
    <t>BOXER 150BM BLANCA 21 RE</t>
  </si>
  <si>
    <t>BOXER 150 BM BLANCA 22 R</t>
  </si>
  <si>
    <t>BOXER 150 BM BLANCO 23 R</t>
  </si>
  <si>
    <t>BOXER 150 BM BLANCO 24 R</t>
  </si>
  <si>
    <t>AVENGER 220 CRUISE NEGRA 21 R</t>
  </si>
  <si>
    <t>AVENGER 220 CRUISE NEGRA 22 RE</t>
  </si>
  <si>
    <t>AVENGER 220 CRUISE NEGRO 23 R</t>
  </si>
  <si>
    <t>AVENGER 220 CRUISE NEGRO 24 R</t>
  </si>
  <si>
    <t>AVENGER CRUISE 220 NEGRO 2025</t>
  </si>
  <si>
    <t>Avenger Cruise 220 Negro 26</t>
  </si>
  <si>
    <t>LIVERPOOL</t>
  </si>
  <si>
    <t>Pulsar RS200 Gris 25</t>
  </si>
  <si>
    <t>Pulsar RS200 Perla 25</t>
  </si>
  <si>
    <t>Pulsar NS160 UG Gris 25</t>
  </si>
  <si>
    <t>Pulsar NS160 Gris 2026</t>
  </si>
  <si>
    <t>Pulsar NS160 UG Negro 25</t>
  </si>
  <si>
    <t>Pulsar NS160 Negro 2026</t>
  </si>
  <si>
    <t>Pulsar NS160 UG Perla 25</t>
  </si>
  <si>
    <t>Pulsar NS160 Perla 2026</t>
  </si>
  <si>
    <t>Pulsar NS125 UG Azul 25</t>
  </si>
  <si>
    <t>Pulsar NS125 UG Gris 25</t>
  </si>
  <si>
    <t>Pulsar NS125 UG Naranja 25</t>
  </si>
  <si>
    <t>Pulsar NS400z Gris 25</t>
  </si>
  <si>
    <t>Pulsar NS400z Negro 25</t>
  </si>
  <si>
    <t>Pulsar NS400z Perla 25</t>
  </si>
  <si>
    <t>Pulsar NS400z Rojo 25</t>
  </si>
  <si>
    <t>Pulsar NS200 UG Gris 25</t>
  </si>
  <si>
    <t>Pulsar NS200 UG Negro 25</t>
  </si>
  <si>
    <t>Pulsar NS200 UG Perla 25</t>
  </si>
  <si>
    <t>Pulsar N250 UG FI Negro 2025</t>
  </si>
  <si>
    <t>Pulsar N250 UG FI Rojo 2025</t>
  </si>
  <si>
    <t>Pulsar N250 FI ABS Negro 25</t>
  </si>
  <si>
    <t>Pulsar N250 FI Negro 2026</t>
  </si>
  <si>
    <t>Pulsar N250 FI ABS Rojo 25</t>
  </si>
  <si>
    <t>Pulsar N250 UG FI Perla 2025</t>
  </si>
  <si>
    <t>Pulsar N160 FI ABS Negro 25</t>
  </si>
  <si>
    <t>Pulsar N125 Morada 2026</t>
  </si>
  <si>
    <t>Pulsar N125 Roja 2026</t>
  </si>
  <si>
    <t>Pulsar N250 Amarillo 25</t>
  </si>
  <si>
    <t>Pulsar N250 Azul 25</t>
  </si>
  <si>
    <t>Pulsar N250 Azul 26</t>
  </si>
  <si>
    <t>Pulsar N250 Negro 25</t>
  </si>
  <si>
    <t>Pulsar N250 Carb Negro 2026</t>
  </si>
  <si>
    <t>Pulsar N 160 FI UG</t>
  </si>
  <si>
    <t>Dominar 400 Negro 25</t>
  </si>
  <si>
    <t>2025 BAJAJ DOMINAR 400 400 CC, ROJO</t>
  </si>
  <si>
    <t>Dominar 400 Verde 25</t>
  </si>
  <si>
    <t>Dominar 250 Negro 25</t>
  </si>
  <si>
    <t>Dominar 250 Rojo 25</t>
  </si>
  <si>
    <t>Boxer BM150 Blanco 25</t>
  </si>
  <si>
    <t>Boxer BM150 Negro 25</t>
  </si>
  <si>
    <t>Avenger Cruise 220 Negro 25</t>
  </si>
  <si>
    <t>2023 BAJAJ AVENGER CRUISE 220 2, NEGRO</t>
  </si>
  <si>
    <t>2019 BAJ PULSAR NS 160CC BLANCO</t>
  </si>
  <si>
    <t>2026 BAJAJ PULSAR F250 ROJO 26 2, ROJOP</t>
  </si>
  <si>
    <t>SEARS</t>
  </si>
  <si>
    <t>Pulsar N160 FI ABS Negro 26</t>
  </si>
  <si>
    <t>Pulsar N160 Carb Negro 2026</t>
  </si>
  <si>
    <t>Pulsar N250 Carb Azul 2026</t>
  </si>
  <si>
    <t>Dominar 400 Negro 26</t>
  </si>
  <si>
    <t>Dominar 400 Rojo 26</t>
  </si>
  <si>
    <t>PULSAR N250CC FI</t>
  </si>
  <si>
    <t>SUBURBIA</t>
  </si>
  <si>
    <t>0001GENSUB</t>
  </si>
  <si>
    <t xml:space="preserve">Avenger Cruise 220 Negro 25 </t>
  </si>
  <si>
    <t xml:space="preserve">Boxer BM150 Blanco 25 </t>
  </si>
  <si>
    <t xml:space="preserve">Boxer BM150 Negro 25 </t>
  </si>
  <si>
    <t xml:space="preserve">Dominar 250 Negro 25 </t>
  </si>
  <si>
    <t xml:space="preserve">Dominar 250 Rojo 25 </t>
  </si>
  <si>
    <t xml:space="preserve">Dominar 400 Negro 25 </t>
  </si>
  <si>
    <t xml:space="preserve">Dominar 400 Verde 25 </t>
  </si>
  <si>
    <t xml:space="preserve">Platina ES100 Rojo 25 </t>
  </si>
  <si>
    <t xml:space="preserve">Pulsar N160 Negro 25 </t>
  </si>
  <si>
    <t xml:space="preserve">Pulsar N160 FI ABS Negro 25 </t>
  </si>
  <si>
    <t xml:space="preserve">Pulsar N250  Amarillo 25 </t>
  </si>
  <si>
    <t xml:space="preserve">Pulsar N250  Azul 25 </t>
  </si>
  <si>
    <t xml:space="preserve">Pulsar N250  Negro 25 </t>
  </si>
  <si>
    <t xml:space="preserve">Pulsar N250 FI ABS Negro 25 </t>
  </si>
  <si>
    <t xml:space="preserve">Pulsar N250 FI ABS Rojo 25 </t>
  </si>
  <si>
    <t xml:space="preserve">Pulsar NS125 UG Gris 25 </t>
  </si>
  <si>
    <t xml:space="preserve">Pulsar NS125 UG Naranja 25 </t>
  </si>
  <si>
    <t xml:space="preserve">Pulsar NS160 UG Gris 25 </t>
  </si>
  <si>
    <t xml:space="preserve">Pulsar NS160 UG Negro 25 </t>
  </si>
  <si>
    <t xml:space="preserve">Pulsar NS160 UG Perla 25 </t>
  </si>
  <si>
    <t xml:space="preserve">Pulsar NS200 UG Gris 25 </t>
  </si>
  <si>
    <t xml:space="preserve">Pulsar NS200 UG Negro 25 </t>
  </si>
  <si>
    <t xml:space="preserve">Pulsar NS200 UG Perla 25 </t>
  </si>
  <si>
    <t xml:space="preserve">Pulsar NS400z Gris 25 </t>
  </si>
  <si>
    <t xml:space="preserve">Pulsar NS400z Negro 25 </t>
  </si>
  <si>
    <t xml:space="preserve">Pulsar NS400z Perla 25 </t>
  </si>
  <si>
    <t xml:space="preserve">Pulsar NS400z Rojo 25 </t>
  </si>
  <si>
    <t xml:space="preserve">Pulsar RS200  Gris 25 </t>
  </si>
  <si>
    <t xml:space="preserve">Pulsar RS200  Perla 25 </t>
  </si>
  <si>
    <t>PULSAR N250 CARBURADA AMARILLA 2026</t>
  </si>
  <si>
    <t>BAJ PULSAR N125 CITRUS, AMARILLO BAJAJ</t>
  </si>
  <si>
    <t>PULSAR 160 N NEGRO CARBURADA 24 R</t>
  </si>
  <si>
    <t>MAVI</t>
  </si>
  <si>
    <t>BAJA00016</t>
  </si>
  <si>
    <t>BAJA00018</t>
  </si>
  <si>
    <t>BAJA00019</t>
  </si>
  <si>
    <t>BAJA00017</t>
  </si>
  <si>
    <t>BAJA00012</t>
  </si>
  <si>
    <t>BAJA00013</t>
  </si>
  <si>
    <t>BAJA00009</t>
  </si>
  <si>
    <t>BAJA00014</t>
  </si>
  <si>
    <t>BAJA00015</t>
  </si>
  <si>
    <t>BAJA00002</t>
  </si>
  <si>
    <t>BAJA00004</t>
  </si>
  <si>
    <t>BAJA00005</t>
  </si>
  <si>
    <t>BAJA00003</t>
  </si>
  <si>
    <t>BAJA00160</t>
  </si>
  <si>
    <t>BAJA00125</t>
  </si>
  <si>
    <t>BAJA00200</t>
  </si>
  <si>
    <t>BAJA00006</t>
  </si>
  <si>
    <t>BAJA00007</t>
  </si>
  <si>
    <t>BAJA00008</t>
  </si>
  <si>
    <t>BAJA00011</t>
  </si>
  <si>
    <t>BAJA00010</t>
  </si>
  <si>
    <t>BAJA00020</t>
  </si>
  <si>
    <t>MOTOCICLETA BAJAJ PULSAR N CARBURADA 250 NEGRO</t>
  </si>
  <si>
    <t>MOTOCICLETA BAJAJ PULSAR NS 160 UG NEGRO</t>
  </si>
  <si>
    <t>MOTOCICLETA BAJAJ PULSAR N CARBURADA 250 Azul</t>
  </si>
  <si>
    <t>MOTOCICLETA BAJAJ PULSAR NS 400 Z NEGRO</t>
  </si>
  <si>
    <t>MOTOCICLETA BAJAJ PULSAR N 250 NEGRO</t>
  </si>
  <si>
    <t>MOTOCICLETA BAJAJ PULSAR NS 160 UG NEGRO</t>
  </si>
  <si>
    <t>MOTOCICLETA BAJAJ PULSAR NS 200 UG NEGRO</t>
  </si>
  <si>
    <t>MOTOCICLETA BAJAJ DOMINAR 400 NEGRO</t>
  </si>
  <si>
    <t>MOTOCICLETA BAJAJ PULSAR NS 200 UG NEGRO</t>
  </si>
  <si>
    <t>BODESA</t>
  </si>
  <si>
    <t>BOXER BM150 BLANCO 2025</t>
  </si>
  <si>
    <t>BOXER BM 150 NEGRA 2025</t>
  </si>
  <si>
    <t>DOMINAR  400 NEGRA 2025</t>
  </si>
  <si>
    <t>DDD DOMINAR 250 NEGRO 2025</t>
  </si>
  <si>
    <t>DDD DOMINAR 250 ROJO 2025</t>
  </si>
  <si>
    <t>DOMINAR 400 VERDE 2025</t>
  </si>
  <si>
    <t>PULSAR N 125 MORADA 2026</t>
  </si>
  <si>
    <t>PULSAR N 125 ROJA 2026</t>
  </si>
  <si>
    <t>PULSAR N 125 AMARILLA 2026</t>
  </si>
  <si>
    <t>DDD PULSAR NS125 UG GRIS 2025</t>
  </si>
  <si>
    <t>DDD PULSAR NS160  UG NEGRA 2025</t>
  </si>
  <si>
    <t>DDD PULSAR NS160 UG PERLA 2025</t>
  </si>
  <si>
    <t>DDD PULSAR N160  FI ABS NEGRO 2025</t>
  </si>
  <si>
    <t>DDD PULSAR NS125 UG NARANJA 2025</t>
  </si>
  <si>
    <t>PULSAR N250 FI ABS UG NEGRO 2026</t>
  </si>
  <si>
    <t>PULSAR N160 FI ABS UG NEGRO 2025</t>
  </si>
  <si>
    <t>PULSAR N160 CARBURADA NEGRO 2026</t>
  </si>
  <si>
    <t>PULSAR N250 FI ABS UG ROJO 2025</t>
  </si>
  <si>
    <t>DDD PULSAR N250 CARBURADA NEGRO 2025</t>
  </si>
  <si>
    <t>PULSAR N250 FI ABS UG NEGRO 2025</t>
  </si>
  <si>
    <t>DDD PULSAR N250 CARBU AZUL 2025</t>
  </si>
  <si>
    <t>PULSAR N250 CARBU AMARILLO 2025</t>
  </si>
  <si>
    <t>DDD PULSAR NS 160 UG NEGRA 2024</t>
  </si>
  <si>
    <t>PULSAR NS400Z NEGRO 2025</t>
  </si>
  <si>
    <t>PULSAR NS400Z ROJO 2025</t>
  </si>
  <si>
    <t>PULSAR NS400Z GRIS 2025</t>
  </si>
  <si>
    <t>PULSAR NS400Z PERLA 2025</t>
  </si>
  <si>
    <t>DDD PULSAR NS160  UG GRIS 2025</t>
  </si>
  <si>
    <t>PULSAR NS200  UG GRIS 2025</t>
  </si>
  <si>
    <t>PULSAR NS200 UG NEGRA 2025</t>
  </si>
  <si>
    <t>DDD PULSAR N250 NEGRO FI 2025</t>
  </si>
  <si>
    <t>DDD PULSAR NS200 UG PERLA 2025</t>
  </si>
  <si>
    <t>PULSAR NS160 PERLA 2026</t>
  </si>
  <si>
    <t>A220CRNE25RE</t>
  </si>
  <si>
    <t>B150BMBL25RE</t>
  </si>
  <si>
    <t>B150BMNE25RE</t>
  </si>
  <si>
    <t>D400TENE25RE</t>
  </si>
  <si>
    <t>D250UGNE25RE</t>
  </si>
  <si>
    <t>D250UGRP25RE</t>
  </si>
  <si>
    <t>D400TEVE25RE</t>
  </si>
  <si>
    <t>P125N-PU26RE</t>
  </si>
  <si>
    <t>P125N-RO26RE</t>
  </si>
  <si>
    <t>P125UGNA26RE</t>
  </si>
  <si>
    <t>P125UGGR25RE</t>
  </si>
  <si>
    <t>P160UGNE25RE</t>
  </si>
  <si>
    <t>P160UGPE25RE</t>
  </si>
  <si>
    <t>P160N-NE25RE</t>
  </si>
  <si>
    <t>P125UGNA25RE</t>
  </si>
  <si>
    <t>P250N-NE26RE</t>
  </si>
  <si>
    <t>P160NCNE26RE</t>
  </si>
  <si>
    <t>P250NURO25RE</t>
  </si>
  <si>
    <t>P250NCNE25RE</t>
  </si>
  <si>
    <t>P250N-NE25RE</t>
  </si>
  <si>
    <t>P250NCAZ25RE</t>
  </si>
  <si>
    <t>P250NCAM25RE</t>
  </si>
  <si>
    <t>P160UGNE24RE</t>
  </si>
  <si>
    <t>P400NSNG25RE</t>
  </si>
  <si>
    <t>P400NSRO25RE</t>
  </si>
  <si>
    <t>P400NSGR25RE</t>
  </si>
  <si>
    <t>P400NSPE25RE</t>
  </si>
  <si>
    <t>P160UGGR25RE</t>
  </si>
  <si>
    <t>P200UGGR25RE</t>
  </si>
  <si>
    <t>P200RSGR25RE</t>
  </si>
  <si>
    <t>P200UGNE25RE</t>
  </si>
  <si>
    <t>P200UGPE25RE</t>
  </si>
  <si>
    <t>P200RSPE25RE</t>
  </si>
  <si>
    <t>P250NCAM26RE</t>
  </si>
  <si>
    <t>P125UGGR24RE</t>
  </si>
  <si>
    <t>P125UGNA24RE</t>
  </si>
  <si>
    <t>P200UGNE24RE</t>
  </si>
  <si>
    <t>P160UGGR24RE</t>
  </si>
  <si>
    <t>P160N-NE24RE</t>
  </si>
  <si>
    <t>P250N-NE24RE</t>
  </si>
  <si>
    <t>P160UGPE24RE</t>
  </si>
  <si>
    <t>B150BMNE24RE</t>
  </si>
  <si>
    <t>D400TENE24RE</t>
  </si>
  <si>
    <t>P200UGPE24RE</t>
  </si>
  <si>
    <t>B150BMBL24RE</t>
  </si>
  <si>
    <t>P250N-RO25RE</t>
  </si>
  <si>
    <t>P200RSGR24RE</t>
  </si>
  <si>
    <t>P200UGGR24RE</t>
  </si>
  <si>
    <t>A220CRNE24RE</t>
  </si>
  <si>
    <t>P160NCNE25RE</t>
  </si>
  <si>
    <t>P250NCNE26RE</t>
  </si>
  <si>
    <t>P200UGGR26RE</t>
  </si>
  <si>
    <t>P200UGNE26RE</t>
  </si>
  <si>
    <t>D400TENE26RE</t>
  </si>
  <si>
    <t>D400TEVE26RE</t>
  </si>
  <si>
    <t>P160UGGR26RE</t>
  </si>
  <si>
    <t>P160UGPE26RE</t>
  </si>
  <si>
    <t>P160UGNE26RE</t>
  </si>
  <si>
    <t>P250NCAZ26RE</t>
  </si>
  <si>
    <t>P200NSGR24RE</t>
  </si>
  <si>
    <t>P160TDGN23RE</t>
  </si>
  <si>
    <t>P125NSNE23RE</t>
  </si>
  <si>
    <t>P200NSGR23RE</t>
  </si>
  <si>
    <t>P160TDNE21RE</t>
  </si>
  <si>
    <t>A220CRNE22RE</t>
  </si>
  <si>
    <t>B150BMBL22RE</t>
  </si>
  <si>
    <t>D250UGRO22RE</t>
  </si>
  <si>
    <t>P160TDAP22RE</t>
  </si>
  <si>
    <t>P125NSNE22RE</t>
  </si>
  <si>
    <t>P200RSPE22RE</t>
  </si>
  <si>
    <t>P150NEVE22RE</t>
  </si>
  <si>
    <t>P200NSNE22RE</t>
  </si>
  <si>
    <t>B150BMNE23RE</t>
  </si>
  <si>
    <t>B150BMBL23RE</t>
  </si>
  <si>
    <t>D250UGNE23RE</t>
  </si>
  <si>
    <t>D400TENE23RE</t>
  </si>
  <si>
    <t>D400TEVE23RE</t>
  </si>
  <si>
    <t>P100ESRO23RE</t>
  </si>
  <si>
    <t>P160TDAP23RE</t>
  </si>
  <si>
    <t>P160TDPE23RE</t>
  </si>
  <si>
    <t>P160TDGR23RE</t>
  </si>
  <si>
    <t>P160N-NE23RE</t>
  </si>
  <si>
    <t>P250N-NE23RE</t>
  </si>
  <si>
    <t>P125NSAM23RE</t>
  </si>
  <si>
    <t>P200FIRO23RE</t>
  </si>
  <si>
    <t>P200RSPE23RE</t>
  </si>
  <si>
    <t>P200RSGR23RE</t>
  </si>
  <si>
    <t>P200NSPE23RE</t>
  </si>
  <si>
    <t>D250UGRO23RE</t>
  </si>
  <si>
    <t>P200NSRO23RE</t>
  </si>
  <si>
    <t>D250UGNE24RE</t>
  </si>
  <si>
    <t>D250UGRO24RE</t>
  </si>
  <si>
    <t>D400TEVE24RE</t>
  </si>
  <si>
    <t>P100ESRO24RE</t>
  </si>
  <si>
    <t>P160TDAP24RE</t>
  </si>
  <si>
    <t>P160TDPE24RE</t>
  </si>
  <si>
    <t>P125NSAM24RE</t>
  </si>
  <si>
    <t>P125NSNE24RE</t>
  </si>
  <si>
    <t>P160TDGR24RE</t>
  </si>
  <si>
    <t>P200NSPE24RE</t>
  </si>
  <si>
    <t>P200RSPE24RE</t>
  </si>
  <si>
    <t>P200NSRO24RE</t>
  </si>
  <si>
    <t>P100ESRO25RE</t>
  </si>
  <si>
    <t>P160NUNE25RE</t>
  </si>
  <si>
    <t>P250NUNE25RE</t>
  </si>
  <si>
    <t>P250N-RO26RE</t>
  </si>
  <si>
    <t>P125N-CI26RE</t>
  </si>
  <si>
    <t>P160NCNE24RE</t>
  </si>
  <si>
    <t>P160NUNE26RE</t>
  </si>
  <si>
    <t>D400TERO26RE</t>
  </si>
  <si>
    <t>P200NSGN23RE</t>
  </si>
  <si>
    <t>P160TDAD23RE</t>
  </si>
  <si>
    <t>P160TDPD24RE</t>
  </si>
  <si>
    <t>A220CRNE23RE</t>
  </si>
  <si>
    <t>P125UGAZ25RE</t>
  </si>
  <si>
    <t>D400TERO25RE</t>
  </si>
  <si>
    <t>P200NSRN23RE</t>
  </si>
  <si>
    <t>P200RSGN23RE</t>
  </si>
  <si>
    <t>P200NSBL22RE</t>
  </si>
  <si>
    <t>P160TDAD22RE</t>
  </si>
  <si>
    <t>P200NSPD23RE</t>
  </si>
  <si>
    <t>D250UGRG23RE</t>
  </si>
  <si>
    <t>P200RSGN22RE</t>
  </si>
  <si>
    <t>D400XXNE22RE</t>
  </si>
  <si>
    <t>P160TDPD23RE</t>
  </si>
  <si>
    <t>P200FIGR23RE</t>
  </si>
  <si>
    <t>P160UGPE19RE</t>
  </si>
  <si>
    <t>P250F-RO26RE</t>
  </si>
  <si>
    <t>P200RSGR21RE</t>
  </si>
  <si>
    <t>P200RSGR22RE</t>
  </si>
  <si>
    <t>P200RSPB22RE</t>
  </si>
  <si>
    <t>P200RSPE26RE</t>
  </si>
  <si>
    <t>P125UGGR26RE</t>
  </si>
  <si>
    <t>P200UGRO24RE</t>
  </si>
  <si>
    <t>P200UGRO25RE</t>
  </si>
  <si>
    <t>P200UGRO26RE</t>
  </si>
  <si>
    <t>P200ABPD22RE</t>
  </si>
  <si>
    <t>P200ABPE22RE</t>
  </si>
  <si>
    <t>P200FIRO22RE</t>
  </si>
  <si>
    <t>P200NSGN22RE</t>
  </si>
  <si>
    <t>P200NSGR21RE</t>
  </si>
  <si>
    <t>P200NSGR22RE</t>
  </si>
  <si>
    <t>P125NSAM21RE</t>
  </si>
  <si>
    <t>P125NSAM22RE</t>
  </si>
  <si>
    <t>P125NSNE21RE</t>
  </si>
  <si>
    <t>P125NSNE25RE</t>
  </si>
  <si>
    <t>P150NENA22RE</t>
  </si>
  <si>
    <t>P150NENE21RE</t>
  </si>
  <si>
    <t>P150NENE22RE</t>
  </si>
  <si>
    <t>P220NENE21RE</t>
  </si>
  <si>
    <t>P220NENE22RE</t>
  </si>
  <si>
    <t>P250NUPE25RE</t>
  </si>
  <si>
    <t>P250N-PE26RE</t>
  </si>
  <si>
    <t>P125LSAM24RE</t>
  </si>
  <si>
    <t>P125LSNE24RE</t>
  </si>
  <si>
    <t>P160TDAP21RE</t>
  </si>
  <si>
    <t>P160TDPD22RE</t>
  </si>
  <si>
    <t>P160TDPE22RE</t>
  </si>
  <si>
    <t>P125NSAM25RE</t>
  </si>
  <si>
    <t>P100ESRO21RE</t>
  </si>
  <si>
    <t>P100ESRO22RE</t>
  </si>
  <si>
    <t>D400UGNE22RE</t>
  </si>
  <si>
    <t>B150BMBL21RE</t>
  </si>
  <si>
    <t>A220CRNE21RE</t>
  </si>
  <si>
    <t>A220CRNE26RE</t>
  </si>
  <si>
    <t>P160CANE26RE</t>
  </si>
  <si>
    <t>CKLASS</t>
  </si>
  <si>
    <t>MOTO BAJAJ DOMINAR 400 NEGRO 2025</t>
  </si>
  <si>
    <t>MOTO BAJAJ PULSAR N125 MORADA 2026</t>
  </si>
  <si>
    <t>MOTO BAJAJ PULSAR N125 ROJA 2026</t>
  </si>
  <si>
    <t>MOTO BAJAJ PULSAR N160 FI ABS UG NEGRO 2025</t>
  </si>
  <si>
    <t>MOTO BAJAJ PULSAR N160 NEGRO 2025</t>
  </si>
  <si>
    <t>MOTO BAJAJ PULSAR N250 AMARILLA CARBURAD</t>
  </si>
  <si>
    <t>MOTO BAJAJ PULSAR N250 AZUL CARBURADA</t>
  </si>
  <si>
    <t>MOTO BAJAJ PULSAR N250 FI ABS UG ROJO 2025</t>
  </si>
  <si>
    <t>MOTO BAJAJ PULSAR N250 FI NEGRA 2025</t>
  </si>
  <si>
    <t>MOTO BAJAJ PULSAR N250 FI ROJA 2025</t>
  </si>
  <si>
    <t>MOTO BAJAJ PULSAR N250 NEGRO CARBURADA</t>
  </si>
  <si>
    <t>MOTO BAJAJ PULSAR NS 125 UG GRIS 2025</t>
  </si>
  <si>
    <t>MOTO BAJAJ PULSAR NS 160 UG GRIS 2024</t>
  </si>
  <si>
    <t>MOTO BAJAJ PULSAR NS 160 UG GRIS 2025</t>
  </si>
  <si>
    <t>MOTO BAJAJ PULSAR NS 160 UG PERLA 2024</t>
  </si>
  <si>
    <t>MOTO BAJAJ PULSAR NS 160 UG PERLA 2025</t>
  </si>
  <si>
    <t>MOTO BAJAJ PULSAR NS 200 UG NEGRA 2025</t>
  </si>
  <si>
    <t>MOTO BAJAJ PULSAR NS 200 UG NEGRO 2024</t>
  </si>
  <si>
    <t>MOTO BAJAJ PULSAR NS 200 UG PERLA 2024</t>
  </si>
  <si>
    <t>MOTO BAJAJ PULSAR NS 200 UG PERLA 2025</t>
  </si>
  <si>
    <t>MOTO BAJAJ PULSAR RS200 GRIS 2025</t>
  </si>
  <si>
    <t>MOTO BAJAJ PULSAR RS200 PERLA 2025</t>
  </si>
  <si>
    <t>MOTO BAJAPULSAR N250 FI ABS UG NEGRO 2025</t>
  </si>
  <si>
    <t>MOTO BAJAPULSAR N250 FI ABS UG NEGRO 2026</t>
  </si>
  <si>
    <t>MOTO PULSAR N 160 NEGRO CARBURADA 2026</t>
  </si>
  <si>
    <t>MOTO PULSAR N250 NEGRO CARBURADA 2026</t>
  </si>
  <si>
    <t>MOTO PULSAR N250 AZUL CARBURADA 2026</t>
  </si>
  <si>
    <t>MOTO BAJAJ N250 FI ABS UG ROJO 2026</t>
  </si>
  <si>
    <t>MOTO BAJAJ PULSAR N125 CITRUS 2026</t>
  </si>
  <si>
    <t>CLIKSTORE</t>
  </si>
  <si>
    <t>A0002102</t>
  </si>
  <si>
    <t>A0002891</t>
  </si>
  <si>
    <t>A0002892</t>
  </si>
  <si>
    <t>A0003108</t>
  </si>
  <si>
    <t>A0003314</t>
  </si>
  <si>
    <t>A0003519</t>
  </si>
  <si>
    <t>A0003526</t>
  </si>
  <si>
    <t>A0003529</t>
  </si>
  <si>
    <t>A0003530</t>
  </si>
  <si>
    <t>A0003534</t>
  </si>
  <si>
    <t>A0002887</t>
  </si>
  <si>
    <t>A0003312</t>
  </si>
  <si>
    <t>A0004208</t>
  </si>
  <si>
    <t>A0004209</t>
  </si>
  <si>
    <t>A0002888</t>
  </si>
  <si>
    <t>A0004247</t>
  </si>
  <si>
    <t>A0002890</t>
  </si>
  <si>
    <t>A0002879</t>
  </si>
  <si>
    <t>A0002894</t>
  </si>
  <si>
    <t>A0002896</t>
  </si>
  <si>
    <t>A0003141</t>
  </si>
  <si>
    <t>A0003313</t>
  </si>
  <si>
    <t>A0002876</t>
  </si>
  <si>
    <t>A0002877</t>
  </si>
  <si>
    <t>A0002895</t>
  </si>
  <si>
    <t>A0002883</t>
  </si>
  <si>
    <t>A0002893</t>
  </si>
  <si>
    <t>A0003140</t>
  </si>
  <si>
    <t>A0003142</t>
  </si>
  <si>
    <t>A0003143</t>
  </si>
  <si>
    <t>A0003934</t>
  </si>
  <si>
    <t>A0003935</t>
  </si>
  <si>
    <t>A0003936</t>
  </si>
  <si>
    <t>A0002889</t>
  </si>
  <si>
    <t>A0003109</t>
  </si>
  <si>
    <t>A0003606</t>
  </si>
  <si>
    <t>A0004207</t>
  </si>
  <si>
    <t>A0004248</t>
  </si>
  <si>
    <t>A0004249</t>
  </si>
  <si>
    <t>A0004250</t>
  </si>
  <si>
    <t>A0002886</t>
  </si>
  <si>
    <t>A0002037</t>
  </si>
  <si>
    <t>A0002107</t>
  </si>
  <si>
    <t>A0002082</t>
  </si>
  <si>
    <t>A0002034</t>
  </si>
  <si>
    <t>A0002031</t>
  </si>
  <si>
    <t>A0002101</t>
  </si>
  <si>
    <t>A0002104</t>
  </si>
  <si>
    <t>A0002036</t>
  </si>
  <si>
    <t>A0002035</t>
  </si>
  <si>
    <t>A0002038</t>
  </si>
  <si>
    <t>A0002737</t>
  </si>
  <si>
    <t>A0002103</t>
  </si>
  <si>
    <t>A0002049</t>
  </si>
  <si>
    <t>A0002048</t>
  </si>
  <si>
    <t>A0002179</t>
  </si>
  <si>
    <t>A0002033</t>
  </si>
  <si>
    <t>A0002751</t>
  </si>
  <si>
    <t>A0002106</t>
  </si>
  <si>
    <t>A0001838</t>
  </si>
  <si>
    <t>A0002032</t>
  </si>
  <si>
    <t>A0001814</t>
  </si>
  <si>
    <t>A0001811</t>
  </si>
  <si>
    <t>A0001893</t>
  </si>
  <si>
    <t>A0001813</t>
  </si>
  <si>
    <t>A0001815</t>
  </si>
  <si>
    <t>A0001817</t>
  </si>
  <si>
    <t>A0001816</t>
  </si>
  <si>
    <t>A0001789</t>
  </si>
  <si>
    <t>A0000705</t>
  </si>
  <si>
    <t>A0002885</t>
  </si>
  <si>
    <t>A0002884</t>
  </si>
  <si>
    <t>A0003517</t>
  </si>
  <si>
    <t>A0003518</t>
  </si>
  <si>
    <t>A0003525</t>
  </si>
  <si>
    <t>A0003528</t>
  </si>
  <si>
    <t>A0003531</t>
  </si>
  <si>
    <t>A0003535</t>
  </si>
  <si>
    <t>A0002880</t>
  </si>
  <si>
    <t>A0003532</t>
  </si>
  <si>
    <t>A0003523</t>
  </si>
  <si>
    <t>A0003514</t>
  </si>
  <si>
    <t>A0003520</t>
  </si>
  <si>
    <t>A0003524</t>
  </si>
  <si>
    <t>A0004365</t>
  </si>
  <si>
    <t>A0004366</t>
  </si>
  <si>
    <t>A0003538</t>
  </si>
  <si>
    <t>A0004386</t>
  </si>
  <si>
    <t>A001GEN</t>
  </si>
  <si>
    <t>A002GEN</t>
  </si>
  <si>
    <t>A0003527</t>
  </si>
  <si>
    <t>Pulsar 200 UG Perla Mod. 2024</t>
  </si>
  <si>
    <t>Pulsar Ns160  Ug Negra Mod. 2025</t>
  </si>
  <si>
    <t>Pulsar Ns200 Ug Perla Mod. 2025</t>
  </si>
  <si>
    <t>Pulsar N160 Carburada Negro Mod. 2025</t>
  </si>
  <si>
    <t>Pulsar N250 Carburada Azul Mod. 2025</t>
  </si>
  <si>
    <t>CSG-Pulsar NS125 UG Gris-Mod. 2025</t>
  </si>
  <si>
    <t>CSG-Pulsar N250  Amarillo-Mod. 2025</t>
  </si>
  <si>
    <t>CSG-Pulsar N160 FI ABS UG Negro-Mod. 2025</t>
  </si>
  <si>
    <t>CSG-Pulsar N160 Negro-Mod. 2025</t>
  </si>
  <si>
    <t>CSG-Pulsar NS400z Gris-Mod. 2025</t>
  </si>
  <si>
    <t>Pulsar Ns125 Ug Naranja Mod. 2025</t>
  </si>
  <si>
    <t>Pulsar N250 Negro FI ABS UG Mod. 2025</t>
  </si>
  <si>
    <t>Pulsa N125 FI CBS Citrus Mod. 2026</t>
  </si>
  <si>
    <t>Pulsar N125 FI CBS Morado Mod. 2026</t>
  </si>
  <si>
    <t>Pulsar Ns125 Ug Gris Mod. 2025</t>
  </si>
  <si>
    <t>Pulsa N125 FI CBS Rojo Mod. 2026</t>
  </si>
  <si>
    <t>Pulsar Ns160  Ug Gris Mod. 2025</t>
  </si>
  <si>
    <t>Dominar 250 Negro Mod. 2025</t>
  </si>
  <si>
    <t>Pulsar Ns200 Ug Negra Mod. 2025</t>
  </si>
  <si>
    <t>Pulsar Rs200 Perla Mod. 2025</t>
  </si>
  <si>
    <t>Pulsar Ns400Z Perla Mod. 2025</t>
  </si>
  <si>
    <t>Pulsar N250 Roja FI ABS UG Mod. 2025</t>
  </si>
  <si>
    <t>Avenger Cruise 220 Negro Mod. 2025</t>
  </si>
  <si>
    <t>Boxer Bm150 Blanco Mod. 2025</t>
  </si>
  <si>
    <t>Pulsar Rs200 Gris Mod. 2025</t>
  </si>
  <si>
    <t>Pulsar N160  Fi Abs UG Negro Mod. 2025</t>
  </si>
  <si>
    <t>Pulsar Ns200  Ug Gris Mod. 2025</t>
  </si>
  <si>
    <t>Pulsar Ns400Z Negro Mod. 2025</t>
  </si>
  <si>
    <t>Pulsar Ns400Z Rojo Mod.2025</t>
  </si>
  <si>
    <t>Pulsar Ns400Z Gris Mod. 2025</t>
  </si>
  <si>
    <t>Pulsar N250 FI ABS UG2 Negro Mod. 2026</t>
  </si>
  <si>
    <t>Pulsar N250 Carburada Negro Mod. 2026</t>
  </si>
  <si>
    <t>Pulsar N160 Negro Mod. 2026</t>
  </si>
  <si>
    <t>Pulsar Ns160 Ug Perla Mod. 2025</t>
  </si>
  <si>
    <t>Pulsar N250 Carburada Negro Mod. 2025</t>
  </si>
  <si>
    <t>Pulsar N250 Carburada Amarilla Mod. 2025</t>
  </si>
  <si>
    <t>Pulsar N250 Carburada Azul Mod. 2026</t>
  </si>
  <si>
    <t>Dominar 400 Negro Mod. 2026</t>
  </si>
  <si>
    <t>Dominar 400 Verde Mod. 2026</t>
  </si>
  <si>
    <t>Pulsar N160 FI ABS Negro Mod. 26</t>
  </si>
  <si>
    <t>P400NSGR25DI</t>
  </si>
  <si>
    <t>P100CTRO23RE</t>
  </si>
  <si>
    <t>P100CTRO22RE</t>
  </si>
  <si>
    <t>P200FIGR22RE</t>
  </si>
  <si>
    <t>ECOMM</t>
  </si>
  <si>
    <t>Avenger Cruise 220, 2025 Negro</t>
  </si>
  <si>
    <t xml:space="preserve">Boxer BM 150, 2025 Blanco </t>
  </si>
  <si>
    <t>Boxer BM 150, 2025 Negro</t>
  </si>
  <si>
    <t>DOMINAR 250, 2025 Negro</t>
  </si>
  <si>
    <t xml:space="preserve">Dominar 250, 2025 Rojo </t>
  </si>
  <si>
    <t>Dominar 400 TE, 2025 Negro</t>
  </si>
  <si>
    <t>Dominar 400 TE, 2025 Rojo</t>
  </si>
  <si>
    <t>Dominar 400 TE, 2025 Verde</t>
  </si>
  <si>
    <t>Pulsar N160 FI ABS 2025 Negro</t>
  </si>
  <si>
    <t>Pulsar N 160, 2025 Negro</t>
  </si>
  <si>
    <t>Pulsar N160 Carb, 2025 Negro</t>
  </si>
  <si>
    <t xml:space="preserve">Pulsar N 250 Carb, 2025 Amarillo </t>
  </si>
  <si>
    <t xml:space="preserve">Pulsar N 250 Carb, 2025 Azul </t>
  </si>
  <si>
    <t xml:space="preserve">Pulsar N 250 FI ABS, 2025 Rojo </t>
  </si>
  <si>
    <t>Pulsar N 250 FI ABS, 2025 Negro</t>
  </si>
  <si>
    <t xml:space="preserve">Pulsar N 250 UG FI ABS, 2025 Rojo </t>
  </si>
  <si>
    <t>Pulsar N 250 UG FI ABS, 2025 Negro</t>
  </si>
  <si>
    <t>Pulsar N 250 Carb, 2025 Negro</t>
  </si>
  <si>
    <t xml:space="preserve">Pulsar NS 125 UG, 2025 Gris </t>
  </si>
  <si>
    <t>Pulsar NS 125 UG, 2025 Naranja</t>
  </si>
  <si>
    <t xml:space="preserve">Pulsar NS 160 UG, 2025 Gris </t>
  </si>
  <si>
    <t>Pulsar NS 160 UG, 2025 Negro</t>
  </si>
  <si>
    <t>Pulsar NS 160 UG, 2025 Perla</t>
  </si>
  <si>
    <t xml:space="preserve">Pulsar NS 200 UG, 2025 Gris </t>
  </si>
  <si>
    <t>Pulsar NS 200 UG, 2025 Negro</t>
  </si>
  <si>
    <t>Pulsar NS 200 UG, 2025 Perla</t>
  </si>
  <si>
    <t xml:space="preserve">Pulsar NS 200 UG, 2025 Rojo </t>
  </si>
  <si>
    <t xml:space="preserve">Pulsar NS 400 z Gris </t>
  </si>
  <si>
    <t>Pulsar NS 400 z Negro</t>
  </si>
  <si>
    <t xml:space="preserve">Pulsar NS 400 z Rojo </t>
  </si>
  <si>
    <t xml:space="preserve">Pulsar RS 200, 2025 Gris </t>
  </si>
  <si>
    <t xml:space="preserve">Pulsar RS 200 2025 Gris </t>
  </si>
  <si>
    <t>Pulsar RS 200, 2025 Perla</t>
  </si>
  <si>
    <t xml:space="preserve">Pulsar RS 200 2025 Blanco </t>
  </si>
  <si>
    <t xml:space="preserve">Pulsar RS 200, 2025 Blanco </t>
  </si>
  <si>
    <t xml:space="preserve">Pulsar NS 400 z Blanco </t>
  </si>
  <si>
    <t xml:space="preserve">Pulsar NS 200 UG, 2025 Blanco </t>
  </si>
  <si>
    <t xml:space="preserve">Pulsar NS 160 UG, 2025 Blanco </t>
  </si>
  <si>
    <t>PULSAR N 250, 2025 PERLA</t>
  </si>
  <si>
    <t>PULSAR N 250, 2025 BLANCO</t>
  </si>
  <si>
    <t>PULSAR N 250, 2026 NEGRO</t>
  </si>
  <si>
    <t>PULSAR NS 400, 2025 PERLA</t>
  </si>
  <si>
    <t>Pulsar N 250 UG FI ABS, 2025 Perla</t>
  </si>
  <si>
    <t>Pulsar N 250 Carb, 2026 Negro</t>
  </si>
  <si>
    <t>Pulsar NS 400 z Perla</t>
  </si>
  <si>
    <t xml:space="preserve">Pulsar N 250 UG FI ABS, 2025 Blanco </t>
  </si>
  <si>
    <t>Pulsar RS 200 2025 Perla</t>
  </si>
  <si>
    <t>Pulsar RS 200 2025 Naranja</t>
  </si>
  <si>
    <t>Pulsar RS 200, 2025 Verde</t>
  </si>
  <si>
    <t>Dominar 400 TE, 2026 Negro</t>
  </si>
  <si>
    <t>Pulsar N 250 UG FI+ABS, 2026 Negro</t>
  </si>
  <si>
    <t xml:space="preserve">Pulsar N125 FI-CBS, 2026 Rojo </t>
  </si>
  <si>
    <t>Pulsar NS 400 z, 2025 Negro</t>
  </si>
  <si>
    <t>Pulsar N125 FI-CBS, 2026 Púrpura</t>
  </si>
  <si>
    <t xml:space="preserve">Pulsar NS 400 z, 2025 Rojo </t>
  </si>
  <si>
    <t>Pulsar NS 400 z, 2025 Perla</t>
  </si>
  <si>
    <t xml:space="preserve">Pulsar N 250 Carb, 2026 Azul </t>
  </si>
  <si>
    <t xml:space="preserve">Pulsar N 250 Carb, 2026 Amarillo </t>
  </si>
  <si>
    <t xml:space="preserve">Pulsar N 250 UG FI+ABS, 2026 Rojo </t>
  </si>
  <si>
    <t>Pulsar N 160 Carb, 2025 Negro</t>
  </si>
  <si>
    <t>Pulsar N125 FI-CBS, 2026 Citrus</t>
  </si>
  <si>
    <t xml:space="preserve">Pulsar NS 400 z, 2025 Gris </t>
  </si>
  <si>
    <t>A220CRNE25DI</t>
  </si>
  <si>
    <t>B150BMBL25DI</t>
  </si>
  <si>
    <t>B150BMNE25DI</t>
  </si>
  <si>
    <t>D250UGNE25DI</t>
  </si>
  <si>
    <t>D250UGRP25DI</t>
  </si>
  <si>
    <t>D400TEVE25DI</t>
  </si>
  <si>
    <t>D400TERO25DI</t>
  </si>
  <si>
    <t>P160N-NE25DI</t>
  </si>
  <si>
    <t>P160NCNE25DI</t>
  </si>
  <si>
    <t>P250NCAM25DI</t>
  </si>
  <si>
    <t>P250NCAZ25DI</t>
  </si>
  <si>
    <t>P250NURO25DI</t>
  </si>
  <si>
    <t>P250N-NE25DI</t>
  </si>
  <si>
    <t>P250N-RO25DI</t>
  </si>
  <si>
    <t>P250NUNE25DI</t>
  </si>
  <si>
    <t>P250NCNE25DI</t>
  </si>
  <si>
    <t>P125UGGR25DI</t>
  </si>
  <si>
    <t>P125UGNA25DI</t>
  </si>
  <si>
    <t>P160UGGR25DI</t>
  </si>
  <si>
    <t>P160UGNE25DI</t>
  </si>
  <si>
    <t>P160UGPE25DI</t>
  </si>
  <si>
    <t>P200UGGR25DI</t>
  </si>
  <si>
    <t>P200UGNE25DI</t>
  </si>
  <si>
    <t>P200UGPE25DI</t>
  </si>
  <si>
    <t>P200UGRO25DI</t>
  </si>
  <si>
    <t>P400NSNE25DI</t>
  </si>
  <si>
    <t>P400NSRO25DI</t>
  </si>
  <si>
    <t>P200RSGR25DI</t>
  </si>
  <si>
    <t>P200RSPE25DI</t>
  </si>
  <si>
    <t>P200RSBL25DI</t>
  </si>
  <si>
    <t>P400NSBL25DI</t>
  </si>
  <si>
    <t>P200NSBL25DI</t>
  </si>
  <si>
    <t>P160NSBL25DI</t>
  </si>
  <si>
    <t>P250NUBL25RE</t>
  </si>
  <si>
    <t>P400NSNE26RE</t>
  </si>
  <si>
    <t>P200RSNA25RE</t>
  </si>
  <si>
    <t>D400TENE25DI</t>
  </si>
  <si>
    <t>P200RSVE25DI</t>
  </si>
  <si>
    <t>P400NSPE25DI</t>
  </si>
  <si>
    <t>PLATINA 100CC 2022</t>
  </si>
  <si>
    <t>PULSAR NS 200CC 2023</t>
  </si>
  <si>
    <t>PULSAR RS 200 2023</t>
  </si>
  <si>
    <t>PULSAR RS 200CC 2022 PERLA</t>
  </si>
  <si>
    <t>PULSAR N 250 UG 2026</t>
  </si>
  <si>
    <t>PULSARN250CARBURADA</t>
  </si>
  <si>
    <t>KIT CADENA 200 NS</t>
  </si>
  <si>
    <t>KIT5000 ACEITE 200NS</t>
  </si>
  <si>
    <t>KIT 20000 200NS</t>
  </si>
  <si>
    <t>KIT FRENO 200 NS</t>
  </si>
  <si>
    <t>KIT CLUTCH 200 NS</t>
  </si>
  <si>
    <t>KIT CILINDRO 200 NS</t>
  </si>
  <si>
    <t>KIT DIRECCION 200 NS</t>
  </si>
  <si>
    <t>KIT VALVULAS 200 NS</t>
  </si>
  <si>
    <t>KIT 5000 ACEITE 160</t>
  </si>
  <si>
    <t>KIT CADENA 125 NS</t>
  </si>
  <si>
    <t>KIT DIRECCION 125 NS</t>
  </si>
  <si>
    <t>KIT CADENA 160 NS</t>
  </si>
  <si>
    <t>KIT 20000 160 NS</t>
  </si>
  <si>
    <t>KIT VALVULAS 125 NS</t>
  </si>
  <si>
    <t>KIT FRENO 160 NS</t>
  </si>
  <si>
    <t>KIT5000 ACEITE 125NS</t>
  </si>
  <si>
    <t>KIT 20000 125 NS</t>
  </si>
  <si>
    <t>KIT CLUTCH 125 NS</t>
  </si>
  <si>
    <t>KIT CILINDRO 125 NS</t>
  </si>
  <si>
    <t>KIT CLUTCH 160 NS</t>
  </si>
  <si>
    <t>KIT DIRECCION 160 NS</t>
  </si>
  <si>
    <t>KIT VALVULAS 160 NS</t>
  </si>
  <si>
    <t>KIT FRENO 125 NS</t>
  </si>
  <si>
    <t>KIT CILINDRO 160 NS</t>
  </si>
  <si>
    <t>PULSAR NS 200 NEGRO 21</t>
  </si>
  <si>
    <t>COPKITTRANS200</t>
  </si>
  <si>
    <t>COPKITSERNS200</t>
  </si>
  <si>
    <t>COPKITAFINS200</t>
  </si>
  <si>
    <t>COPKITFRENS200</t>
  </si>
  <si>
    <t>COPKITDESNS200</t>
  </si>
  <si>
    <t>COPKITREPNS200</t>
  </si>
  <si>
    <t>COPKITDIRNS200</t>
  </si>
  <si>
    <t>COPKITVALNS200</t>
  </si>
  <si>
    <t>COPKITSERPL160</t>
  </si>
  <si>
    <t>COPKITTRAPL125</t>
  </si>
  <si>
    <t>COPKITDIRPL125</t>
  </si>
  <si>
    <t>COPKITTRAPL160</t>
  </si>
  <si>
    <t>COPKITAFIPL160</t>
  </si>
  <si>
    <t>COPKITVALPL125</t>
  </si>
  <si>
    <t>COPKITFREPL160</t>
  </si>
  <si>
    <t>COPKITSERPL125</t>
  </si>
  <si>
    <t>COPKITAFIPL125</t>
  </si>
  <si>
    <t>COPKITDESPL125</t>
  </si>
  <si>
    <t>COPKITREPPL125</t>
  </si>
  <si>
    <t>COPKITDESPL160</t>
  </si>
  <si>
    <t>COPKITDIRPL160</t>
  </si>
  <si>
    <t>COPKITVALPL160</t>
  </si>
  <si>
    <t>COPKITFREPL125</t>
  </si>
  <si>
    <t>COPKITREPPL160</t>
  </si>
  <si>
    <t>P200NSNE21RE</t>
  </si>
  <si>
    <t>P200NSRO26RE</t>
  </si>
  <si>
    <t>P200NSGR26RE</t>
  </si>
  <si>
    <t>P160NSPE26RE</t>
  </si>
  <si>
    <t>P160NSGR26RE</t>
  </si>
  <si>
    <t>A0000668</t>
  </si>
  <si>
    <t>A0001306</t>
  </si>
  <si>
    <t>A0000677</t>
  </si>
  <si>
    <t>A0000633</t>
  </si>
  <si>
    <t>A0000636</t>
  </si>
  <si>
    <t>A0000672</t>
  </si>
  <si>
    <t>A0000667</t>
  </si>
  <si>
    <t>A0000067</t>
  </si>
  <si>
    <t>A0000675</t>
  </si>
  <si>
    <t>A0000690</t>
  </si>
  <si>
    <t>A0000666</t>
  </si>
  <si>
    <t>A0000635</t>
  </si>
  <si>
    <t>A0000066</t>
  </si>
  <si>
    <t>A0001812</t>
  </si>
  <si>
    <t>A0001818</t>
  </si>
  <si>
    <t>A0001925</t>
  </si>
  <si>
    <t>A0003516</t>
  </si>
  <si>
    <t>A0003521</t>
  </si>
  <si>
    <t>A0002863</t>
  </si>
  <si>
    <t>BAJA00250</t>
  </si>
  <si>
    <t>A0002878</t>
  </si>
  <si>
    <t>A0002881</t>
  </si>
  <si>
    <t>A0002882</t>
  </si>
  <si>
    <t>A0003512</t>
  </si>
  <si>
    <t>A0004475</t>
  </si>
  <si>
    <t>A0004474</t>
  </si>
  <si>
    <t>AVENGER 220</t>
  </si>
  <si>
    <t>PULSAR NS 200</t>
  </si>
  <si>
    <t>PULSAR NS 160</t>
  </si>
  <si>
    <t>PULSAR N 160 FI+ABS</t>
  </si>
  <si>
    <t>PULSAR N 250 FI+ABS</t>
  </si>
  <si>
    <t>PULSAR NS 125</t>
  </si>
  <si>
    <t>BOXER BM 150</t>
  </si>
  <si>
    <t>PULSAR RS 200</t>
  </si>
  <si>
    <t>DOMINAR 400</t>
  </si>
  <si>
    <t>DOMINAR 250</t>
  </si>
  <si>
    <t>PULSAR N 250</t>
  </si>
  <si>
    <t>PULSAR NS 400</t>
  </si>
  <si>
    <t>Pulsar NS400z</t>
  </si>
  <si>
    <t>Moto BAJAJ PULSAR NS 160 UG GRIS</t>
  </si>
  <si>
    <t>MOTO BAJAJ PULSAR NS 200 UG PERLA</t>
  </si>
  <si>
    <t>Moto BAJAJ PULSAR NS 200 NEGRA</t>
  </si>
  <si>
    <t>MOTO BAJAJ PULSAR N250 FI ROJA</t>
  </si>
  <si>
    <t>MOTO BAJAJ PULSAR N250 FI ABS UG NEGRO</t>
  </si>
  <si>
    <t>MOTO BAJAJ PULSAR N250 FI ABS UG ROJO</t>
  </si>
  <si>
    <t>Moto BAJAJ PULSAR N 160 FI ABS UG NEGRO</t>
  </si>
  <si>
    <t>PULSAR N 160</t>
  </si>
  <si>
    <t>Pulsar N250 FI ABS UG</t>
  </si>
  <si>
    <t>Pulsar N160 FI ABS UG</t>
  </si>
  <si>
    <t>CSG-Avenger Cruise 220 Negro-Mod. 2025</t>
  </si>
  <si>
    <t>CSG-Pulsar NS160 UG Gris-Mod. 2025</t>
  </si>
  <si>
    <t>Elemento filtro de Aceite</t>
  </si>
  <si>
    <t>Boxer Bm 150 Negra Mod. 2025</t>
  </si>
  <si>
    <t>Dominar 400 Verde Mod. 2025</t>
  </si>
  <si>
    <t>Dominar  400 Negra Mod. 2025</t>
  </si>
  <si>
    <t>CSG-Pulsar NS200 UG Gris-Mod. 2024</t>
  </si>
  <si>
    <t>MOTOCICLETA BAJAJ PULSAR NS 400 Z GRIS.</t>
  </si>
  <si>
    <t>PULSAR 160 NS GRIS UG PERLA 2026</t>
  </si>
  <si>
    <t>Pulsar N250 Carburada Amarillo Mod. 2026</t>
  </si>
  <si>
    <t>P400NSNE25RE</t>
  </si>
  <si>
    <t>D400TEVE22RE</t>
  </si>
  <si>
    <t>P200NSPD22RE</t>
  </si>
  <si>
    <t>NA</t>
  </si>
  <si>
    <t>P400NSGR26RE</t>
  </si>
  <si>
    <t>2025 BAJAJ PULSAR NS400Z 400 CC, NEGRO</t>
  </si>
  <si>
    <t>2026 BAJAJ PULSAR N250 CARBU, AMARILLO</t>
  </si>
  <si>
    <t>P160TDBL19RE</t>
  </si>
  <si>
    <t>P200NSNE19RE</t>
  </si>
  <si>
    <t>2026 BAJAJ PULSAR NS160 PERLA 1, PERLA</t>
  </si>
  <si>
    <t>PLATINA 125</t>
  </si>
  <si>
    <t>PULSAR NEON 150</t>
  </si>
  <si>
    <t>PULSAR NEON 220</t>
  </si>
  <si>
    <t>A220CRBL21RE</t>
  </si>
  <si>
    <t>B100BMRO19RE</t>
  </si>
  <si>
    <t>D250UGNE22RE</t>
  </si>
  <si>
    <t>D250XXNE21RE</t>
  </si>
  <si>
    <t>D250XXNE22RE</t>
  </si>
  <si>
    <t>D250XXRO21RE</t>
  </si>
  <si>
    <t>D400TENE22RE</t>
  </si>
  <si>
    <t>D400XXNE19RE</t>
  </si>
  <si>
    <t>D400XXNE21RE</t>
  </si>
  <si>
    <t>D400XXVE19RE</t>
  </si>
  <si>
    <t>D400XXVE21RE</t>
  </si>
  <si>
    <t>D400XXVE22RE</t>
  </si>
  <si>
    <t>P125ESNE19RE</t>
  </si>
  <si>
    <t>P125ESRO21RE</t>
  </si>
  <si>
    <t>P125NSAM19RE</t>
  </si>
  <si>
    <t>P125NSNE19RE</t>
  </si>
  <si>
    <t>P160NSNE19RE</t>
  </si>
  <si>
    <t>P160NSNE21RE</t>
  </si>
  <si>
    <t>P160NSRO19RE</t>
  </si>
  <si>
    <t>P160TDAD21RE</t>
  </si>
  <si>
    <t>P160TDAZ21RE</t>
  </si>
  <si>
    <t>P160TDGN22RE</t>
  </si>
  <si>
    <t>P160TDGR22RE</t>
  </si>
  <si>
    <t>P200FIAM21RE</t>
  </si>
  <si>
    <t>P200FIGN23RE</t>
  </si>
  <si>
    <t>P200FINE19RE</t>
  </si>
  <si>
    <t>P200FINE21RE</t>
  </si>
  <si>
    <t>P200NSBL19RE</t>
  </si>
  <si>
    <t>P200NSBL21RE</t>
  </si>
  <si>
    <t>P200NSPE22RE</t>
  </si>
  <si>
    <t>P200NSRO19RE</t>
  </si>
  <si>
    <t>P200RSBL22RE</t>
  </si>
  <si>
    <t>P200RSNE19RE</t>
  </si>
  <si>
    <t>PULSAR LS 135</t>
  </si>
  <si>
    <t>GUANTE MOTODRIVE MESH + PVC TOUCH R</t>
  </si>
  <si>
    <t>GUANTE MOTODRIVE MESH + PVC TOUCH V</t>
  </si>
  <si>
    <t>GUANTE MOTODRIVE MESH + PVC TOUCH N</t>
  </si>
  <si>
    <t>FUNDA PROTECTORA PARA MOTOCICLETA P</t>
  </si>
  <si>
    <t>FUNDA PROTECTORA PARA MOTOCICLETA D</t>
  </si>
  <si>
    <t>MALETERO MOTODRIVE 45L</t>
  </si>
  <si>
    <t>MALETERO PARA MOTOCICLETA MOTODRIVE 36L</t>
  </si>
  <si>
    <t>ACEITE 4T MOTODRIVE SAE 20W50 MA2 SL MINERAL 1L</t>
  </si>
  <si>
    <t>ACEITE 4T MOTODRIVE SAE 15W50 SINTETICO API SN 1L</t>
  </si>
  <si>
    <t>LIQUIDO DE FRENOS MOTODRIVE DOT-4</t>
  </si>
  <si>
    <t>ANTICONGELANTE MOTODRIVE RL10</t>
  </si>
  <si>
    <t>GUANTE MOTODRIVE MESH + PVC TOUCH ROJO</t>
  </si>
  <si>
    <t>GUANTE MOTODRIVE MESH + PVC TOUCH NARANJA</t>
  </si>
  <si>
    <t>GUANTE MOTODRIVE MESH + PVC TOUCH VERDE</t>
  </si>
  <si>
    <t>RED ELASTICA MOTODRIVE 40X40 NEGRO REFLEJANTE</t>
  </si>
  <si>
    <t>ARMADURA MD MH-202 BK T NEGRO</t>
  </si>
  <si>
    <t>RODILLERA MD MH-302</t>
  </si>
  <si>
    <t>FUNDA PROTECTORA PARA MOTOCICLETA ADVANCE NEGRO</t>
  </si>
  <si>
    <t>BANNER DE CREDITO</t>
  </si>
  <si>
    <t>A220CRNE20RE</t>
  </si>
  <si>
    <t>B150BMNE22RE</t>
  </si>
  <si>
    <t>D250XXRO22RE</t>
  </si>
  <si>
    <t>D400XXNE20RE</t>
  </si>
  <si>
    <t>P125NSAM20RE</t>
  </si>
  <si>
    <t>P135LSNE19RE</t>
  </si>
  <si>
    <t>P160TDGR21RE</t>
  </si>
  <si>
    <t>P160TDNE20RE</t>
  </si>
  <si>
    <t>P200FIAD22RE</t>
  </si>
  <si>
    <t>P200FIGN22RE</t>
  </si>
  <si>
    <t>P200FINE20RE</t>
  </si>
  <si>
    <t>P200NSNE20RE</t>
  </si>
  <si>
    <t>P200NSRO20RE</t>
  </si>
  <si>
    <t xml:space="preserve">Guante </t>
  </si>
  <si>
    <t>Funda</t>
  </si>
  <si>
    <t>Maletero</t>
  </si>
  <si>
    <t>Aceite</t>
  </si>
  <si>
    <t>Liquido de Frenos</t>
  </si>
  <si>
    <t>Anticongelante</t>
  </si>
  <si>
    <t>Guante</t>
  </si>
  <si>
    <t>Red Elastica</t>
  </si>
  <si>
    <t>Armadura</t>
  </si>
  <si>
    <t>Rodillera</t>
  </si>
  <si>
    <t>Banner</t>
  </si>
  <si>
    <t>NÚMERO DE ARTÍCULO (SAP)</t>
  </si>
  <si>
    <t>DESCRIPCIÓN DEL ARTÍCULO (SAP)</t>
  </si>
  <si>
    <t>RESUMIDO</t>
  </si>
  <si>
    <t>FAMILIA</t>
  </si>
  <si>
    <t>CILINDRADA</t>
  </si>
  <si>
    <t>COLOR</t>
  </si>
  <si>
    <t>AÑO</t>
  </si>
  <si>
    <t>RESUMIDO 2 CUADRANTE</t>
  </si>
  <si>
    <t>CLEAN MODEL</t>
  </si>
  <si>
    <t>MODEL FAMILY</t>
  </si>
  <si>
    <t>MKT NAME</t>
  </si>
  <si>
    <t>SO NAME JOEL</t>
  </si>
  <si>
    <t>RE/DI/FL</t>
  </si>
  <si>
    <t>MKT+C</t>
  </si>
  <si>
    <t>CODEX</t>
  </si>
  <si>
    <t>KR2504SBL22S</t>
  </si>
  <si>
    <t>KIT RE250 4S BLANCO 22 SKD</t>
  </si>
  <si>
    <t>RE 250</t>
  </si>
  <si>
    <t>Re</t>
  </si>
  <si>
    <t>Blanco</t>
  </si>
  <si>
    <t>RE</t>
  </si>
  <si>
    <t>Others</t>
  </si>
  <si>
    <t>KIT</t>
  </si>
  <si>
    <t>Others Blanco</t>
  </si>
  <si>
    <t/>
  </si>
  <si>
    <t>R2054SBL20RE</t>
  </si>
  <si>
    <t>RE 205 4S BLANCO 20 R</t>
  </si>
  <si>
    <t>R2504SBL20RE</t>
  </si>
  <si>
    <t>RE 250 4S COLOR BLANCO 20 RE</t>
  </si>
  <si>
    <t>R2504SBL22RE</t>
  </si>
  <si>
    <t>RE250 4S BLANCO 22 R</t>
  </si>
  <si>
    <t>KP200RSGR24C</t>
  </si>
  <si>
    <t>KIT PULSAR 200 RS GRIS 24 CKD</t>
  </si>
  <si>
    <t>Pulsar RS200</t>
  </si>
  <si>
    <t>Pulsar</t>
  </si>
  <si>
    <t>Gris</t>
  </si>
  <si>
    <t>Pulsar RS 200</t>
  </si>
  <si>
    <t>RS 200</t>
  </si>
  <si>
    <t>Pulsar RS200 Gris</t>
  </si>
  <si>
    <t>KP200RSGR25C</t>
  </si>
  <si>
    <t>KIT Pulsar RS200  Gris 25 CKD</t>
  </si>
  <si>
    <t>B2DTC932</t>
  </si>
  <si>
    <t>KP200RSPE23C</t>
  </si>
  <si>
    <t>KIT PULSAR 200 RS PERLA 23 CKD</t>
  </si>
  <si>
    <t>Perla</t>
  </si>
  <si>
    <t>Pulsar RS200 Perla</t>
  </si>
  <si>
    <t>KP200RSPE24C</t>
  </si>
  <si>
    <t>KIT PULSAR 200 RS PERLA 24 CKD</t>
  </si>
  <si>
    <t>KP200RSPE25C</t>
  </si>
  <si>
    <t>KIT Pulsar RS200  Perla 25 CKD</t>
  </si>
  <si>
    <t>B2DTC942</t>
  </si>
  <si>
    <t>P200RSAZ20DI</t>
  </si>
  <si>
    <t>PULSAR 200RS ABS AZUL 20 D</t>
  </si>
  <si>
    <t>Azul</t>
  </si>
  <si>
    <t>DI</t>
  </si>
  <si>
    <t>Pulsar RS200 Azul</t>
  </si>
  <si>
    <t>PULSAR 200 RS BLANCA 2022</t>
  </si>
  <si>
    <t>Pulsar RS200 Blanco</t>
  </si>
  <si>
    <t>P200RSGN22DI</t>
  </si>
  <si>
    <t>PULSAR 200 RS GRIS-NEGRA 22 D</t>
  </si>
  <si>
    <t>Negro</t>
  </si>
  <si>
    <t>Pulsar RS200 Negro</t>
  </si>
  <si>
    <t>PULSAR 200 RS 23</t>
  </si>
  <si>
    <t>P200RSGR21DI</t>
  </si>
  <si>
    <t>PULSAR 200 RS GRIS 21 D</t>
  </si>
  <si>
    <t>P200RSGR22DI</t>
  </si>
  <si>
    <t>PULSAR 200 RS GRIS 22 D</t>
  </si>
  <si>
    <t>P200RSGR23DI</t>
  </si>
  <si>
    <t>PULSAR 200 RS GRIS 23 D</t>
  </si>
  <si>
    <t>P200RSGR23FL</t>
  </si>
  <si>
    <t>PULSAR 200 RS GRIS 23 FL FLOTILLA</t>
  </si>
  <si>
    <t>FL</t>
  </si>
  <si>
    <t>P200RSGR24DI</t>
  </si>
  <si>
    <t>PULSAR 200 RS GRIS 24 D</t>
  </si>
  <si>
    <t>P200RSGR24FL</t>
  </si>
  <si>
    <t>PULSAR 200 RS GRIS 24 FLOTILLA</t>
  </si>
  <si>
    <t>Pulsar RS200  Gris 25 D</t>
  </si>
  <si>
    <t>P200RSGR25FL</t>
  </si>
  <si>
    <t>Pulsar RS200  Gris 25 FL</t>
  </si>
  <si>
    <t>P200RSNE20DI</t>
  </si>
  <si>
    <t>PULSAR 200RS ABS NEGRO 20 D</t>
  </si>
  <si>
    <t>P200RSNE20RE</t>
  </si>
  <si>
    <t>PULSAR 200RS NEGRO 20 R</t>
  </si>
  <si>
    <t>P200RSNE21DI</t>
  </si>
  <si>
    <t>PULSAR 200 RS NEGRA 21 D</t>
  </si>
  <si>
    <t>P200RSNE21RE</t>
  </si>
  <si>
    <t>PULSAR 200 RS NEGRA 21 R</t>
  </si>
  <si>
    <t>P200RSPB22DI</t>
  </si>
  <si>
    <t>PULSAR 200 RS PERLA-NEGRO 22 DI</t>
  </si>
  <si>
    <t>P200RSPE21DI</t>
  </si>
  <si>
    <t>PULSAR 200 RS PERLA 21 D</t>
  </si>
  <si>
    <t>P200RSPE21RE</t>
  </si>
  <si>
    <t>PULSAR 200 RS PERLA 21 R</t>
  </si>
  <si>
    <t>P200RSPE22DI</t>
  </si>
  <si>
    <t>PULSAR 200 RS PERLA 22 D</t>
  </si>
  <si>
    <t>P200RSPE23DI</t>
  </si>
  <si>
    <t>PULSAR 200 RS PERLA 23 D</t>
  </si>
  <si>
    <t>P200RSPE23FL</t>
  </si>
  <si>
    <t>PULSAR 200 RS PERLA 23 FL FLOTILLA</t>
  </si>
  <si>
    <t>P200RSPE24DI</t>
  </si>
  <si>
    <t>PULSAR 200 RS PERLA 24 D</t>
  </si>
  <si>
    <t>P200RSPE24FL</t>
  </si>
  <si>
    <t>PULSAR 200 RS PERLA 24 FLOTILLA</t>
  </si>
  <si>
    <t>Pulsar RS200  Perla 25 D</t>
  </si>
  <si>
    <t>P200RSPE25FL</t>
  </si>
  <si>
    <t>Pulsar RS200  Perla 25 FL</t>
  </si>
  <si>
    <t>P200RSRO20DI</t>
  </si>
  <si>
    <t>PULSAR 200RS ABS ROJO 20 D</t>
  </si>
  <si>
    <t>Rojo</t>
  </si>
  <si>
    <t>Pulsar RS200 Rojo</t>
  </si>
  <si>
    <t>P200RSRO20RE</t>
  </si>
  <si>
    <t>PULSAR 200RS ROJO 20 R</t>
  </si>
  <si>
    <t>P200RSBL21RE</t>
  </si>
  <si>
    <t>PULSAR 200 RS BLANCA 2021 R</t>
  </si>
  <si>
    <t>PULSAR 200RS NEGRO 19 R</t>
  </si>
  <si>
    <t>KP400NSGR25C</t>
  </si>
  <si>
    <t>KIT Pulsar NS400z Gris 25 CKD</t>
  </si>
  <si>
    <t>Pulsar NS 400</t>
  </si>
  <si>
    <t>NS 400</t>
  </si>
  <si>
    <t>Pulsar NS400</t>
  </si>
  <si>
    <t>Pulsar NS400z Gris</t>
  </si>
  <si>
    <t>B2JLFB32</t>
  </si>
  <si>
    <t>KP400NSNE25C</t>
  </si>
  <si>
    <t>KIT Pulsar NS400z Negro 25 CKD</t>
  </si>
  <si>
    <t>Pulsar NS400z Negro</t>
  </si>
  <si>
    <t>B2JLFB9V</t>
  </si>
  <si>
    <t>KP400NSPE25C</t>
  </si>
  <si>
    <t>KIT Pulsar NS400z Perla 25 CKD</t>
  </si>
  <si>
    <t>Pulsar NS400z Perla</t>
  </si>
  <si>
    <t>B2JLFB42</t>
  </si>
  <si>
    <t>KP400NSRO25C</t>
  </si>
  <si>
    <t>KIT Pulsar NS400z Rojo 25 CKD</t>
  </si>
  <si>
    <t>Pulsar NS400z Rojo</t>
  </si>
  <si>
    <t>B2JLFB95</t>
  </si>
  <si>
    <t>P400NSGR24DI</t>
  </si>
  <si>
    <t>PULSAR 400 NS GRIS 24 D</t>
  </si>
  <si>
    <t>Pulsar NS400z Gris 25 D</t>
  </si>
  <si>
    <t>P400NSNE24DI</t>
  </si>
  <si>
    <t>PULSAR 400 NS NEGRO 24 D</t>
  </si>
  <si>
    <t>Pulsar NS400z Negro 25 D</t>
  </si>
  <si>
    <t>P400NSPE24DI</t>
  </si>
  <si>
    <t>PULSAR 400 NS PERLA 24 D</t>
  </si>
  <si>
    <t>P400NSPE24FL</t>
  </si>
  <si>
    <t>PULSAR 400 NS PERLA 24 FL</t>
  </si>
  <si>
    <t>Pulsar NS400z Perla 25 D</t>
  </si>
  <si>
    <t>Pulsar NS400z Perla 25 R</t>
  </si>
  <si>
    <t>P400NSRO24DI</t>
  </si>
  <si>
    <t>PULSAR 400 NS ROJO 24 D</t>
  </si>
  <si>
    <t>P400NSRO24FL</t>
  </si>
  <si>
    <t>PULSAR 400 NS ROJO 24 FL</t>
  </si>
  <si>
    <t>Pulsar NS400z Rojo 25 D</t>
  </si>
  <si>
    <t>P400NSNG25DI</t>
  </si>
  <si>
    <t>Pulsar NS400z N 25</t>
  </si>
  <si>
    <t>KP400NSNG25C</t>
  </si>
  <si>
    <t xml:space="preserve"> Kit Pulsar NS400z N 25</t>
  </si>
  <si>
    <t>Pulsar NS400z Negro 25 RE</t>
  </si>
  <si>
    <t>P400NSPE25FL</t>
  </si>
  <si>
    <t>Pulsar NS400z Perla 25 FL</t>
  </si>
  <si>
    <t>P400NSGR25FL</t>
  </si>
  <si>
    <t>Pulsar NS400z Gris 25 FL</t>
  </si>
  <si>
    <t>P400NSNG25FL</t>
  </si>
  <si>
    <t>Pulsar NS400z Negro 25 FL</t>
  </si>
  <si>
    <t>P400NSRO25FL</t>
  </si>
  <si>
    <t>Pulsar NS400z Rojo 25 FL</t>
  </si>
  <si>
    <t>KP200UGGR25C</t>
  </si>
  <si>
    <t>KIT Pulsar NS200 UG Gris 25 CKD</t>
  </si>
  <si>
    <t>Pulsar NS200 UG</t>
  </si>
  <si>
    <t>Pulsar NS 200</t>
  </si>
  <si>
    <t>NS 200</t>
  </si>
  <si>
    <t>Pulsar NS 200 UG</t>
  </si>
  <si>
    <t>Pulsar NS200 UG Gris</t>
  </si>
  <si>
    <t>B1JLCEBJ</t>
  </si>
  <si>
    <t>KP200UGNE24C</t>
  </si>
  <si>
    <t>KIT PULSAR 200 UG NEGRA 24 CKD</t>
  </si>
  <si>
    <t>Pulsar NS200 UG Negro</t>
  </si>
  <si>
    <t>KP200UGNE25C</t>
  </si>
  <si>
    <t>KIT Pulsar NS200 UG Negro 25 CKD</t>
  </si>
  <si>
    <t>B1JLCEAL</t>
  </si>
  <si>
    <t>KP200UGPE24C</t>
  </si>
  <si>
    <t>KIT PULSAR 200 UG PERLA 24 CKD</t>
  </si>
  <si>
    <t>Pulsar NS200 UG Perla</t>
  </si>
  <si>
    <t>KP200UGPE25C</t>
  </si>
  <si>
    <t>KIT Pulsar NS200 UG Perla 25 CKD</t>
  </si>
  <si>
    <t>B1JLCE8R</t>
  </si>
  <si>
    <t>KP200UGRO24C</t>
  </si>
  <si>
    <t>KIT PULSAR 200 UG ROJA 24 CKD</t>
  </si>
  <si>
    <t>Pulsar NS200 UG Rojo</t>
  </si>
  <si>
    <t>KP200UGRO25C</t>
  </si>
  <si>
    <t>KIT Pulsar NS200 UG Rojo 25 CKD</t>
  </si>
  <si>
    <t>B1JLCEBH</t>
  </si>
  <si>
    <t>P200NSAP22DI</t>
  </si>
  <si>
    <t>PULSAR 200 NS AZUL PLASMA 22 D</t>
  </si>
  <si>
    <t>Pulsar NS200</t>
  </si>
  <si>
    <t>Pulsar NS200 UG Azul</t>
  </si>
  <si>
    <t>P200NSBL20DI</t>
  </si>
  <si>
    <t>PULSAR 200NS BLANCA 20 D</t>
  </si>
  <si>
    <t>Pulsar NS200 UG Blanco</t>
  </si>
  <si>
    <t>P200NSBL20RE</t>
  </si>
  <si>
    <t>PULSAR 200NS BLANCO 20 R</t>
  </si>
  <si>
    <t>P200NSBL21DI</t>
  </si>
  <si>
    <t>PULSAR 200 NS BLANCA 21 D</t>
  </si>
  <si>
    <t>PULSAR 200 NS BLANCA 21 R</t>
  </si>
  <si>
    <t>PULSAR 200 NS BLANCA</t>
  </si>
  <si>
    <t>P200NSGN22DI</t>
  </si>
  <si>
    <t>PULSAR 200 NS GRIS - NEGRA 22 D</t>
  </si>
  <si>
    <t>PULSAR 200 NS 23</t>
  </si>
  <si>
    <t>P200NSGR21DI</t>
  </si>
  <si>
    <t>PULSAR 200 NS GRIS 21 D</t>
  </si>
  <si>
    <t>P200NSGR22DI</t>
  </si>
  <si>
    <t>PULSAR 200 NS GRIS 22 D</t>
  </si>
  <si>
    <t>P200NSGR23DI</t>
  </si>
  <si>
    <t>PULSAR 200 NS GRIS 23 D</t>
  </si>
  <si>
    <t>P200NSGR23FL</t>
  </si>
  <si>
    <t>PULSAR 200 NS GRIS 23 FL FLOTILLA</t>
  </si>
  <si>
    <t>P200NSGR24DI</t>
  </si>
  <si>
    <t>PULSAR 200 NS GRIS 24 D</t>
  </si>
  <si>
    <t>P200NSGR24FL</t>
  </si>
  <si>
    <t>PULSAR 200 NS GRIS 24 fl</t>
  </si>
  <si>
    <t>P200NSNE19DI</t>
  </si>
  <si>
    <t>PULSAR 200NS NEGRO 19 D</t>
  </si>
  <si>
    <t>PULSAR 200 NS NEGRO 2019</t>
  </si>
  <si>
    <t>P200NSNE20DI</t>
  </si>
  <si>
    <t>PULSAR 200NS NEGRO 20 D</t>
  </si>
  <si>
    <t>PULSAR 200NS NEGRO 20 R</t>
  </si>
  <si>
    <t>P200NSNE21DI</t>
  </si>
  <si>
    <t>PULSAR 200 NS NEGRA 21 D</t>
  </si>
  <si>
    <t>PULSAR 200 NS NEGRA 21 R</t>
  </si>
  <si>
    <t>PULSAR 200 NS NEGRO 2022</t>
  </si>
  <si>
    <t>P200NSPD22DI</t>
  </si>
  <si>
    <t>PULSAR 200 NS PERLA-DIC. 22 DI</t>
  </si>
  <si>
    <t>PULSAR 200 NS PERLA-DIC. 22 RE</t>
  </si>
  <si>
    <t>PULSAR 200 NS PERLA 23</t>
  </si>
  <si>
    <t>P200NSPE21DI</t>
  </si>
  <si>
    <t>PULSAR 200 NS PERLA 21 D</t>
  </si>
  <si>
    <t>P200NSPE21RE</t>
  </si>
  <si>
    <t>PULSAR 200 NS PERLA 21 R</t>
  </si>
  <si>
    <t>P200NSPE22DI</t>
  </si>
  <si>
    <t>PULSAR 200 NS PERLA 22 D</t>
  </si>
  <si>
    <t>PULSAR 200 NS PERLA 22 R</t>
  </si>
  <si>
    <t>P200NSPE23DI</t>
  </si>
  <si>
    <t>PULSAR 200 NS PERLA 23 D</t>
  </si>
  <si>
    <t>P200NSPE23FL</t>
  </si>
  <si>
    <t>PULSAR 200 NS PERLA 23  FL FLOTILLA</t>
  </si>
  <si>
    <t>PULSAR 200 NS PERLA 23 R</t>
  </si>
  <si>
    <t>P200NSPE24DI</t>
  </si>
  <si>
    <t>PULSAR 200 NS PERLA 24 D</t>
  </si>
  <si>
    <t>P200NSPE24FL</t>
  </si>
  <si>
    <t>PULSAR 200 NS PERLA 24 FL</t>
  </si>
  <si>
    <t>PULSAR 200 NS PERLA 24 R</t>
  </si>
  <si>
    <t>PULSAR 200 NS NEGRO 23</t>
  </si>
  <si>
    <t>P200NSRO19DI</t>
  </si>
  <si>
    <t>PULSAR 200NS ROJA 19 D</t>
  </si>
  <si>
    <t>P200NSRO20DI</t>
  </si>
  <si>
    <t>PULSAR 200NS ROJA 20 D</t>
  </si>
  <si>
    <t>PULSAR 200NS ROJA 20 R</t>
  </si>
  <si>
    <t>P200NSRO22DI</t>
  </si>
  <si>
    <t>PULSAR 200 NS ROJA 22 D</t>
  </si>
  <si>
    <t>P200NSRO23DI</t>
  </si>
  <si>
    <t>PULSAR 200 NS ROJA 23 D</t>
  </si>
  <si>
    <t>PULSAR 200 NS ROJA 23 R</t>
  </si>
  <si>
    <t>P200NSRO24DI</t>
  </si>
  <si>
    <t>PULSAR 200 NS ROJA 24 D</t>
  </si>
  <si>
    <t>PULSAR 200 NS ROJA 24 R</t>
  </si>
  <si>
    <t>P200UGGR24DI</t>
  </si>
  <si>
    <t>PULSAR 200 NS UG GRIS 24 D</t>
  </si>
  <si>
    <t>P200UGGR24FL</t>
  </si>
  <si>
    <t>PULSAR 200 UG GRIS 24 FL</t>
  </si>
  <si>
    <t>Pulsar NS200 UG Gris 25 D</t>
  </si>
  <si>
    <t>P200UGGR25FL</t>
  </si>
  <si>
    <t>Pulsar NS200 UG Gris 25 FL</t>
  </si>
  <si>
    <t>P200UGNE24DI</t>
  </si>
  <si>
    <t>PULSAR 200 NS UG NEGRA 24 D</t>
  </si>
  <si>
    <t>P200UGNE24FL</t>
  </si>
  <si>
    <t>PULSAR 200 NS UG NEGRA 24 FL</t>
  </si>
  <si>
    <t>Pulsar NS200 UG Negro 25 D</t>
  </si>
  <si>
    <t>P200UGNE25FL</t>
  </si>
  <si>
    <t>Pulsar NS200 UG Negro 25 FL</t>
  </si>
  <si>
    <t>P200UGPE24DI</t>
  </si>
  <si>
    <t>PULSAR 200 NS UG PERLA 24 D</t>
  </si>
  <si>
    <t>P200UGPE24FL</t>
  </si>
  <si>
    <t>PULSAR 200 NS UG PERLA 24 FL</t>
  </si>
  <si>
    <t>Pulsar NS200 UG Perla 25 D</t>
  </si>
  <si>
    <t>P200UGPE25FL</t>
  </si>
  <si>
    <t>Pulsar NS200 UG Perla 25 FL</t>
  </si>
  <si>
    <t>P200UGRO24DI</t>
  </si>
  <si>
    <t>PULSAR 200 NS UG ROJA 24 D</t>
  </si>
  <si>
    <t>P200UGRO24FL</t>
  </si>
  <si>
    <t>PULSAR 200 UG ROJO 24 FL</t>
  </si>
  <si>
    <t>Pulsar NS200 UG Rojo 25 D</t>
  </si>
  <si>
    <t>P200UGRO25FL</t>
  </si>
  <si>
    <t>Pulsar NS200 UG Rojo 25 FL</t>
  </si>
  <si>
    <t>Pulsar NS200 UG Rojo 25</t>
  </si>
  <si>
    <t>PULSAR 200NS BLANCO 19 R</t>
  </si>
  <si>
    <t>PULSAR 200NS ROJA 19 R</t>
  </si>
  <si>
    <t>P200NSBL22DI</t>
  </si>
  <si>
    <t>PULSAR 200 NS BLANCA 22 D</t>
  </si>
  <si>
    <t>P200NSRO21DI</t>
  </si>
  <si>
    <t>PULSAR 200NS ROJA 21 D</t>
  </si>
  <si>
    <t>P200NSAP21DI</t>
  </si>
  <si>
    <t>PULSAR 200 NS AZUL PLASMA 21 D</t>
  </si>
  <si>
    <t>P160NSPL21DI</t>
  </si>
  <si>
    <t>PULSAR 160 PLATA 21 D</t>
  </si>
  <si>
    <t>Pulsar NS160</t>
  </si>
  <si>
    <t>Plata</t>
  </si>
  <si>
    <t>Pulsar NS160 UG</t>
  </si>
  <si>
    <t>Pulsar NS 160</t>
  </si>
  <si>
    <t>NS 160</t>
  </si>
  <si>
    <t>Pulsar NS 160 UG</t>
  </si>
  <si>
    <t>Pulsar NS160 UG Plata</t>
  </si>
  <si>
    <t>P160NSGR21DI</t>
  </si>
  <si>
    <t>Pulsar NS160 UG Gris</t>
  </si>
  <si>
    <t>KP160UGNE24C</t>
  </si>
  <si>
    <t>KIT PULSAR 160 UG NEGRA 24 CKD</t>
  </si>
  <si>
    <t>Pulsar NS160 UG Negro</t>
  </si>
  <si>
    <t>KP160UGGR25C</t>
  </si>
  <si>
    <t>KIT Pulsar NS160 UG Gris 25 CKD</t>
  </si>
  <si>
    <t>B1JFCXBJ</t>
  </si>
  <si>
    <t>KP160UGNE25C</t>
  </si>
  <si>
    <t>KIT Pulsar NS160 UG Negro 25 CKD</t>
  </si>
  <si>
    <t>B1JFCXAL</t>
  </si>
  <si>
    <t>KP160UGPE25C</t>
  </si>
  <si>
    <t>KIT Pulsar NS160 UG Perla 25 CKD</t>
  </si>
  <si>
    <t>Pulsar NS160 UG Perla</t>
  </si>
  <si>
    <t>B1JFCX8R</t>
  </si>
  <si>
    <t>P160NSBL19DI</t>
  </si>
  <si>
    <t>PULSAR 160 BLANCO 19 D</t>
  </si>
  <si>
    <t>Pulsar NS160 UG Blanco</t>
  </si>
  <si>
    <t>P160NSBL19RE</t>
  </si>
  <si>
    <t>PULSAR 160 BLANCO 19 R</t>
  </si>
  <si>
    <t>P160NSNE19DI</t>
  </si>
  <si>
    <t>PULSAR 160 NEGRO 19 D</t>
  </si>
  <si>
    <t>PULSAR 160 NEGRO 19 R</t>
  </si>
  <si>
    <t>P160NSRO19DI</t>
  </si>
  <si>
    <t>PULSAR 160 ROJO 19 D</t>
  </si>
  <si>
    <t>Pulsar NS160 UG Rojo</t>
  </si>
  <si>
    <t>PULSAR 160 ROJO 19 R</t>
  </si>
  <si>
    <t>P160NSBL20RE</t>
  </si>
  <si>
    <t>PULSAR 160 BLANCO 20 R</t>
  </si>
  <si>
    <t>P160TDAD22DI</t>
  </si>
  <si>
    <t>PULSAR 160TD AZUL DICROMATICA 22 DI</t>
  </si>
  <si>
    <t>Pulsar NS160 UG Azul</t>
  </si>
  <si>
    <t>PULSAR 160 NS 23</t>
  </si>
  <si>
    <t>P160TDAP21DI</t>
  </si>
  <si>
    <t>PULSAR 160 TD AZUL PLASMA 21 D</t>
  </si>
  <si>
    <t>P160TDAP22DI</t>
  </si>
  <si>
    <t>PULSAR 160 TD AZUL PLASMA 22 D</t>
  </si>
  <si>
    <t>P160TDAP23DI</t>
  </si>
  <si>
    <t>PULSAR 160 TD AZUL PLASMA 23 D</t>
  </si>
  <si>
    <t>P160TDAP24DI</t>
  </si>
  <si>
    <t>PULSAR 160 TD AZUL PLASMA 24 D</t>
  </si>
  <si>
    <t>P160TDAZ20DI</t>
  </si>
  <si>
    <t>PULSAR 160 TD AZUL 20 D</t>
  </si>
  <si>
    <t>P160TDAZ20RE</t>
  </si>
  <si>
    <t>PULSAR 160 TD AZUL 20 R</t>
  </si>
  <si>
    <t>P160TDAZ21DI</t>
  </si>
  <si>
    <t>PULSAR 160 TD AZUL 21 D</t>
  </si>
  <si>
    <t>PULSAR 160 TD AZUL 21 R</t>
  </si>
  <si>
    <t>P160TDGN22DI</t>
  </si>
  <si>
    <t>PULSAR 160 TD GRIS - NEGRA 22 D</t>
  </si>
  <si>
    <t>PULSAR 160 TD GRIS - NEGRA 22 R</t>
  </si>
  <si>
    <t>PULSAR 160 TD NEGRO 23</t>
  </si>
  <si>
    <t>P160TDGR21DI</t>
  </si>
  <si>
    <t>PULSAR 160 TD GRIS 21 D</t>
  </si>
  <si>
    <t>PULSAR 160 TD GRIS 21 R</t>
  </si>
  <si>
    <t>P160TDGR22DI</t>
  </si>
  <si>
    <t>PULSAR 160 TD GRIS 22 D</t>
  </si>
  <si>
    <t>PULSAR 160 TD GRIS 22 R</t>
  </si>
  <si>
    <t>P160TDGR23DI</t>
  </si>
  <si>
    <t>PULSAR 160 TD GRIS 23 D</t>
  </si>
  <si>
    <t>P160TDGR23FL</t>
  </si>
  <si>
    <t>PULSAR 160 TD GRIS 23 FL</t>
  </si>
  <si>
    <t>PULSAR 160 TD GRIS 23 R</t>
  </si>
  <si>
    <t>P160TDGR24DI</t>
  </si>
  <si>
    <t>PULSAR 160 TD GRIS 24 D</t>
  </si>
  <si>
    <t>PULSAR 160 NS GRIS 24 R</t>
  </si>
  <si>
    <t>P160TDNE19DI</t>
  </si>
  <si>
    <t>PULSAR 160 TD NEGRO 19 D</t>
  </si>
  <si>
    <t>P160TDNE20DI</t>
  </si>
  <si>
    <t>PULSAR 160 TD NEGRO 20 D</t>
  </si>
  <si>
    <t>PULSAR 160 TD NEGRO 20 R</t>
  </si>
  <si>
    <t>P160TDNE21DI</t>
  </si>
  <si>
    <t>PULSAR 160 TD NEGRA 21 D</t>
  </si>
  <si>
    <t>PULSAR 160 TD NEGRA 21 R</t>
  </si>
  <si>
    <t>P160TDPD22DI</t>
  </si>
  <si>
    <t>PULSAR 160TD PERLA-DICROMATICA 22 DI</t>
  </si>
  <si>
    <t>PULSAR 160 NS PLATINA 23</t>
  </si>
  <si>
    <t>PULSAR 160 TD NEGRO 24</t>
  </si>
  <si>
    <t>P160TDPE22DI</t>
  </si>
  <si>
    <t>PULSAR 160 TD PERLA 22 D</t>
  </si>
  <si>
    <t>P160TDPE23DI</t>
  </si>
  <si>
    <t>PULSAR 160 TD PERLA 23 D</t>
  </si>
  <si>
    <t>P160TDPE23FL</t>
  </si>
  <si>
    <t>PULSAR 160 TD PERLA 23 FL</t>
  </si>
  <si>
    <t>P160TDPE24DI</t>
  </si>
  <si>
    <t>PULSAR 160 TD PERLA 24 D</t>
  </si>
  <si>
    <t>P160TDPL21DI</t>
  </si>
  <si>
    <t>PULSAR 160 NS 2021</t>
  </si>
  <si>
    <t>P160TDPL22DI</t>
  </si>
  <si>
    <t>PULSAR 160 NS 2022</t>
  </si>
  <si>
    <t>P160TDPN22DI</t>
  </si>
  <si>
    <t>PULSAR 160 TD PERLA 22</t>
  </si>
  <si>
    <t>P160TDRO19DI</t>
  </si>
  <si>
    <t>PULSAR 160 TD ROJO 19 D</t>
  </si>
  <si>
    <t>P160TDRO20DI</t>
  </si>
  <si>
    <t>PULSAR 160 TD ROJO 20 D</t>
  </si>
  <si>
    <t>P160TDRO20RE</t>
  </si>
  <si>
    <t>PULSAR 160 TD ROJO 20 R</t>
  </si>
  <si>
    <t>P160TDRO22DI</t>
  </si>
  <si>
    <t>PULSAR 160 TD ROJA 22 D</t>
  </si>
  <si>
    <t>P160TDRO22RE</t>
  </si>
  <si>
    <t>PULSAR 160 TD ROJA 22 R</t>
  </si>
  <si>
    <t>P160UGGR24DI</t>
  </si>
  <si>
    <t>PULSAR 160 NS UG GRIS 24 D</t>
  </si>
  <si>
    <t>P160UGGR24FL</t>
  </si>
  <si>
    <t>PULSAR 160 NS UG GRIS 24 FL</t>
  </si>
  <si>
    <t>Pulsar NS160 UG Gris 25 D</t>
  </si>
  <si>
    <t>P160UGGR25FL</t>
  </si>
  <si>
    <t>Pulsar NS160 UG Gris 25 FL</t>
  </si>
  <si>
    <t>P160UGNE24DI</t>
  </si>
  <si>
    <t>PULSAR 160 NS UG NEGRA 24 D</t>
  </si>
  <si>
    <t>P160UGNE24FL</t>
  </si>
  <si>
    <t>PULSAR 160 NS UG NEGRA 24 FL</t>
  </si>
  <si>
    <t>Pulsar NS160 UG Negro 25 D</t>
  </si>
  <si>
    <t>P160UGNE25FL</t>
  </si>
  <si>
    <t>Pulsar NS160 UG Negro 25 FL</t>
  </si>
  <si>
    <t>P160UGPE24DI</t>
  </si>
  <si>
    <t>PULSAR 160 NS UG PERLA 24 D</t>
  </si>
  <si>
    <t>P160UGPE24FL</t>
  </si>
  <si>
    <t>PULSAR 160 NS UG PERLA 24 FL</t>
  </si>
  <si>
    <t>Pulsar NS160 UG Perla 25 D</t>
  </si>
  <si>
    <t>P160UGPE25FL</t>
  </si>
  <si>
    <t>Pulsar NS160 UG Perla 25 FL</t>
  </si>
  <si>
    <t>P160NSNE20RE</t>
  </si>
  <si>
    <t>PULSAR 160 NEGRO 20 R</t>
  </si>
  <si>
    <t>PULSAR 160 NEGRO 21 R</t>
  </si>
  <si>
    <t>P160NSRO20RE</t>
  </si>
  <si>
    <t>PULSAR 160 ROJO 20 R</t>
  </si>
  <si>
    <t>PULSAR 160TD AZUL DICROMATICA 21 R</t>
  </si>
  <si>
    <t>PULSAR 160 TD BLANCO 19 R</t>
  </si>
  <si>
    <t>P160TDGR19RE</t>
  </si>
  <si>
    <t>PULSAR 160 TD GRIS 19 R</t>
  </si>
  <si>
    <t>P160NSGR22DI</t>
  </si>
  <si>
    <t>PULSAR 160 GRIS 22 D</t>
  </si>
  <si>
    <t>P160NSAZ20DI</t>
  </si>
  <si>
    <t>PULSAR 160 AZUL 20 D</t>
  </si>
  <si>
    <t>P160NSPL22DI</t>
  </si>
  <si>
    <t>PULSAR 160 PLATA 22 D</t>
  </si>
  <si>
    <t>P160NSNE21DI</t>
  </si>
  <si>
    <t>PULSAR 160 NEGRO 21 R D</t>
  </si>
  <si>
    <t>P160NSGN22DI</t>
  </si>
  <si>
    <t>PULSAR 160 GRIS NEGRO 22 R</t>
  </si>
  <si>
    <t>P160NSPE21DI</t>
  </si>
  <si>
    <t>PULSAR 160 PERLA 21 D</t>
  </si>
  <si>
    <t>P160TDAP23FL</t>
  </si>
  <si>
    <t>PULSAR 160 TD AZUL PLASMA 23 FL</t>
  </si>
  <si>
    <t>KP125UGAZ25C</t>
  </si>
  <si>
    <t>KIT Pulsar NS125 UG Azul 25 CKD</t>
  </si>
  <si>
    <t>Pulsar NS125 UG</t>
  </si>
  <si>
    <t>NS 125</t>
  </si>
  <si>
    <t>Pulsar NS 125 UG</t>
  </si>
  <si>
    <t>Pulsar NS125 UG Azul</t>
  </si>
  <si>
    <t>B1JFG718</t>
  </si>
  <si>
    <t>KP125UGGR25C</t>
  </si>
  <si>
    <t>KIT Pulsar NS125 UG Gris 25 CKD</t>
  </si>
  <si>
    <t>Pulsar NS125 UG Gris</t>
  </si>
  <si>
    <t>B1JFG732</t>
  </si>
  <si>
    <t>KP125UGNA25C</t>
  </si>
  <si>
    <t>KIT Pulsar NS125 UG Naranja 25 CKD</t>
  </si>
  <si>
    <t>Naranja</t>
  </si>
  <si>
    <t>Pulsar NS125 UG Naranja</t>
  </si>
  <si>
    <t>B1JFG717</t>
  </si>
  <si>
    <t>P125UGAZ24DI</t>
  </si>
  <si>
    <t>PULSAR 125 NS UG AZUL 24 DI</t>
  </si>
  <si>
    <t>P125UGAZ25DI</t>
  </si>
  <si>
    <t>Pulsar NS125 UG Azul 25 D</t>
  </si>
  <si>
    <t>P125UGAZ25FL</t>
  </si>
  <si>
    <t>Pulsar NS125 UG Azul 25 FL</t>
  </si>
  <si>
    <t>P125UGGR24DI</t>
  </si>
  <si>
    <t>PULSAR 125 NS UG GRIS 24 D</t>
  </si>
  <si>
    <t>PULSAR 125 UG GRIS 24 R</t>
  </si>
  <si>
    <t>Pulsar NS125 UG Gris 25 D</t>
  </si>
  <si>
    <t>P125UGGR25FL</t>
  </si>
  <si>
    <t>Pulsar NS125 UG Gris 25 FL</t>
  </si>
  <si>
    <t>Pulsar NS125 UG Gris 25 RE</t>
  </si>
  <si>
    <t>P125UGNA24DI</t>
  </si>
  <si>
    <t>PULSAR 125 NS UG NARANJA 24 D</t>
  </si>
  <si>
    <t>PULSAR 125 UG NARANJA 24 R</t>
  </si>
  <si>
    <t>Pulsar NS125 UG Naranja 25 D</t>
  </si>
  <si>
    <t>P125UGNA25FL</t>
  </si>
  <si>
    <t>Pulsar NS125 UG Naranja 25 FL</t>
  </si>
  <si>
    <t>P125UGGR24FL</t>
  </si>
  <si>
    <t>Pulsar NS125 UG Gris 24</t>
  </si>
  <si>
    <t>P125UGNA24FL</t>
  </si>
  <si>
    <t>Pulsar NS125 UG Naranja 24</t>
  </si>
  <si>
    <t>Pulsar NS400z Blanco</t>
  </si>
  <si>
    <t>Pulsar N250 FI ABS UG2 Negro 25</t>
  </si>
  <si>
    <t>N 250</t>
  </si>
  <si>
    <t>Pulsar N250 FI ABS UG Negro</t>
  </si>
  <si>
    <t>B1JRF39V</t>
  </si>
  <si>
    <t>Pulsar N250 FI ABS UG2 Rojo 25</t>
  </si>
  <si>
    <t>Pulsar N250 FI ABS UG Rojo</t>
  </si>
  <si>
    <t>B1JRF3</t>
  </si>
  <si>
    <t>Pulsar N250 FI ABS Negro UG2 25</t>
  </si>
  <si>
    <t>Pulsar N250 FI ABS Rojo UG2 25</t>
  </si>
  <si>
    <t>P250NUPE25DI</t>
  </si>
  <si>
    <t>Pulsar N250 FI ABS UG2 Perla 25</t>
  </si>
  <si>
    <t>Pulsar N250 FI ABS UG Perla</t>
  </si>
  <si>
    <t>B1JRF342</t>
  </si>
  <si>
    <t>Pulsar N250 FI ABS Perla UG2 25</t>
  </si>
  <si>
    <t>KP250N-NE24C</t>
  </si>
  <si>
    <t>KIT PULSAR 250 N- NEGRA FI+ABS 24 CKD</t>
  </si>
  <si>
    <t>Pulsar N250 FI ABS</t>
  </si>
  <si>
    <t>Pulsar N250 FI-ABS</t>
  </si>
  <si>
    <t>Pulsar N250 FI+ ABS</t>
  </si>
  <si>
    <t>KP250N-NE25C</t>
  </si>
  <si>
    <t>KIT Pulsar N250 FI ABS Negro 25 CKD</t>
  </si>
  <si>
    <t>KP250N-RO24C</t>
  </si>
  <si>
    <t>KIT PULSAR 250 N-ROJA FI+ABS 24 CKD</t>
  </si>
  <si>
    <t>KP250N-RO25C</t>
  </si>
  <si>
    <t>KIT Pulsar N250 FI ABS Rojo 25 CKD</t>
  </si>
  <si>
    <t>B1JRF395</t>
  </si>
  <si>
    <t>P250NFNE25DI</t>
  </si>
  <si>
    <t>Pulsar N250 FI NEGRO 25</t>
  </si>
  <si>
    <t>P250NFRO25DI</t>
  </si>
  <si>
    <t>Pulsar N250 FI ROJO 25</t>
  </si>
  <si>
    <t>P250N-NE23DI</t>
  </si>
  <si>
    <t>PULSAR 250 N- NEGRA FI+ABS 23 D</t>
  </si>
  <si>
    <t>P250N-NE23FL</t>
  </si>
  <si>
    <t>PULSAR 250 NEGRO 23 FL FLOTILLA</t>
  </si>
  <si>
    <t>P250N-NE24DI</t>
  </si>
  <si>
    <t>PULSAR 250 N- NEGRA FI+ABS 24 D</t>
  </si>
  <si>
    <t>P250N-NE24FL</t>
  </si>
  <si>
    <t>PULSAR 250 N NEGRA 24 FL FLOTILLA</t>
  </si>
  <si>
    <t>Pulsar N250 FI ABS Negro 25 D</t>
  </si>
  <si>
    <t>P250N-NE25FL</t>
  </si>
  <si>
    <t>Pulsar N250 FI ABS Negro 25 FL</t>
  </si>
  <si>
    <t>P250N-RO24DI</t>
  </si>
  <si>
    <t>PULSAR 250 N ROJA FI+ABS 24 D</t>
  </si>
  <si>
    <t>P250N-RO24FL</t>
  </si>
  <si>
    <t>PULSAR 250 N ROJA FI+ABS 24 FL</t>
  </si>
  <si>
    <t>P250N-RO24RE</t>
  </si>
  <si>
    <t>PULSAR 250 N- NEGRO 24</t>
  </si>
  <si>
    <t>Pulsar N250 FI ABS Rojo 25 D</t>
  </si>
  <si>
    <t>P250N-RO25FL</t>
  </si>
  <si>
    <t>Pulsar N250 FI ABS Rojo 25 FL</t>
  </si>
  <si>
    <t>KP250NUNE25C</t>
  </si>
  <si>
    <t>KIT Pulsar N250 FI ABS Negro UG2 25 CKD</t>
  </si>
  <si>
    <t>KP250NUPE25C</t>
  </si>
  <si>
    <t>KIT Pulsar N250 FI ABS Perla 25 UG2 CKD</t>
  </si>
  <si>
    <t>KP250NURO25C</t>
  </si>
  <si>
    <t>KIT Pulsar N250 FI ABS Rojo UG2 25 CKD</t>
  </si>
  <si>
    <t>P250NURO25FL</t>
  </si>
  <si>
    <t>Pulsar N250 FI ABS Rojo UG2 25 FL</t>
  </si>
  <si>
    <t>P250NUNE25FL</t>
  </si>
  <si>
    <t>Pulsar N250 FI ABS Negro UG2 25 FL</t>
  </si>
  <si>
    <t>KP250N-PE25C</t>
  </si>
  <si>
    <t>KIT Pulsar N250 FI ABS PERLA 25 CKD</t>
  </si>
  <si>
    <t>KP250NCAM25C</t>
  </si>
  <si>
    <t>KIT Pulsar N250  Amarillo 25 CKD</t>
  </si>
  <si>
    <t>Pulsar N250</t>
  </si>
  <si>
    <t>Amarillo</t>
  </si>
  <si>
    <t>Pulsar N250 Carb</t>
  </si>
  <si>
    <t>Pulsar 250 N CARB</t>
  </si>
  <si>
    <t>Pulsar N250 Amarillo</t>
  </si>
  <si>
    <t>B2JRFY96</t>
  </si>
  <si>
    <t>KP250NCAZ25C</t>
  </si>
  <si>
    <t>KIT Pulsar N250  Azul 25 CKD</t>
  </si>
  <si>
    <t>Pulsar N250 Azul</t>
  </si>
  <si>
    <t>B2JRFY2Z</t>
  </si>
  <si>
    <t>KP250NCNE25C</t>
  </si>
  <si>
    <t>KIT Pulsar N250  Negro 25 CKD</t>
  </si>
  <si>
    <t>Pulsar N250 Negro</t>
  </si>
  <si>
    <t>B2JRFY9V</t>
  </si>
  <si>
    <t>Pulsar N250  Amarillo 25 D</t>
  </si>
  <si>
    <t>P250NCAM25FL</t>
  </si>
  <si>
    <t>Pulsar N250 Amarillo 25 FL</t>
  </si>
  <si>
    <t>Pulsar N250  Amarillo 25</t>
  </si>
  <si>
    <t>Pulsar N250  Azul 25 D</t>
  </si>
  <si>
    <t>P250NCAZ25FL</t>
  </si>
  <si>
    <t>Pulsar N250 Azul 25 FL</t>
  </si>
  <si>
    <t>Pulsar N250  Azul 25</t>
  </si>
  <si>
    <t>Pulsar N250  Negro 25 D</t>
  </si>
  <si>
    <t>P250NCNE25FL</t>
  </si>
  <si>
    <t>Pulsar N250  Negro 25 FL</t>
  </si>
  <si>
    <t>Pulsar N250  Negro 25</t>
  </si>
  <si>
    <t>KP160NUNE25C</t>
  </si>
  <si>
    <t>KIT Pulsar N160 FI UG ABS Negro 25 CKD</t>
  </si>
  <si>
    <t>Pulsar N160 FI-ABS UG</t>
  </si>
  <si>
    <t>N 160</t>
  </si>
  <si>
    <t>Pulsar N160 FI ABS UG Negro</t>
  </si>
  <si>
    <t>00JRG79V</t>
  </si>
  <si>
    <t>P160NUNE25DI</t>
  </si>
  <si>
    <t>Pulsar N160 FI UG ABS Negro 25 DI</t>
  </si>
  <si>
    <t>Pulsar N160 FI UG ABS Negro 25 RE</t>
  </si>
  <si>
    <t>P160NUNE25FL</t>
  </si>
  <si>
    <t>KIT Pulsar N160 FI UG ABS Negro 25 FL</t>
  </si>
  <si>
    <t>KP160NUAZ25C</t>
  </si>
  <si>
    <t>KIT Pulsar N160 FI ABS Azul  UG 25 CKD</t>
  </si>
  <si>
    <t>Pulsar N160 FI ABS UG Azul</t>
  </si>
  <si>
    <t>B3JRG7BN</t>
  </si>
  <si>
    <t>KP160N-NE24C</t>
  </si>
  <si>
    <t>KIT PULSAR 160 N- NEGRA FI+ABS 24 CKD</t>
  </si>
  <si>
    <t>Pulsar N160 FI ABS</t>
  </si>
  <si>
    <t>Pulsar N160 FI-ABS</t>
  </si>
  <si>
    <t>KP160N-NE25C</t>
  </si>
  <si>
    <t>KIT Pulsar N160 FI ABS Negro 25 CKD</t>
  </si>
  <si>
    <t>B1JRF79V</t>
  </si>
  <si>
    <t>P160N-NE23DI</t>
  </si>
  <si>
    <t>PULSAR 160 N- NEGRA FI+ABS 23 D</t>
  </si>
  <si>
    <t>P160N-NE23FL</t>
  </si>
  <si>
    <t>PULSAR 160 N- NEGRA FI+ABS 23 FL FLOTILLAS</t>
  </si>
  <si>
    <t>PULSAR N160 FI + ABS NEGRO 23 D</t>
  </si>
  <si>
    <t>P160N-NE24DI</t>
  </si>
  <si>
    <t>PULSAR 160 N- NEGRA FI+ABS 24 D</t>
  </si>
  <si>
    <t>P160N-NE24FL</t>
  </si>
  <si>
    <t>PULSAR 160 N- NEGRA FI+ABS 24 FL</t>
  </si>
  <si>
    <t>Pulsar N160 FI ABS Negro 25 D</t>
  </si>
  <si>
    <t>P160N-NE25FL</t>
  </si>
  <si>
    <t>Pulsar N160 FI ABS Negro 25 FL</t>
  </si>
  <si>
    <t>KP160NCAZ25C</t>
  </si>
  <si>
    <t>KIT Pulsar N160 Azul 25 CKD</t>
  </si>
  <si>
    <t>Pulsar N160</t>
  </si>
  <si>
    <t>Pulsar N160 Carb</t>
  </si>
  <si>
    <t>Pulsar 160 N CARB</t>
  </si>
  <si>
    <t>Pulsar N160 Azul</t>
  </si>
  <si>
    <t>B1JRCSBN</t>
  </si>
  <si>
    <t>KP160NCNE24C</t>
  </si>
  <si>
    <t>KIT PULSAR 160 N NEGRO CARBURADA 24 CKD</t>
  </si>
  <si>
    <t>Pulsar N160 Negro</t>
  </si>
  <si>
    <t>KP160NCNE25C</t>
  </si>
  <si>
    <t>KIT Pulsar N160 Negro 25 CKD</t>
  </si>
  <si>
    <t>B1JRCS9V</t>
  </si>
  <si>
    <t>KP160NCPE25C</t>
  </si>
  <si>
    <t>KIT Pulsar N160 Perla 25 CKD</t>
  </si>
  <si>
    <t>Pulsar N160 Perla</t>
  </si>
  <si>
    <t>B1JRCS42</t>
  </si>
  <si>
    <t>P160NCAZ25DI</t>
  </si>
  <si>
    <t>Pulsar N160 Azul 25 D</t>
  </si>
  <si>
    <t>P160NCAZ25FL</t>
  </si>
  <si>
    <t>Pulsar N160 Azul 25 FL</t>
  </si>
  <si>
    <t>P160NCAZ25RE</t>
  </si>
  <si>
    <t>Pulsar N160 Azul 25</t>
  </si>
  <si>
    <t>P160NCNE24DI</t>
  </si>
  <si>
    <t>PULSAR 160 N NEGRO CARBURADA 24 D</t>
  </si>
  <si>
    <t>Pulsar N160 Negro 25 D</t>
  </si>
  <si>
    <t>P160NCNE25FL</t>
  </si>
  <si>
    <t>Pulsar N160 Negro 25 FL</t>
  </si>
  <si>
    <t>Pulsar N160 Negro 25</t>
  </si>
  <si>
    <t>P160NCPE25DI</t>
  </si>
  <si>
    <t>Pulsar N160 Perla 25 D</t>
  </si>
  <si>
    <t>P160NCPE25FL</t>
  </si>
  <si>
    <t>Pulsar N160 Perla 25 FL</t>
  </si>
  <si>
    <t>P160NCPE25RE</t>
  </si>
  <si>
    <t>Pulsar N160 Perla 25</t>
  </si>
  <si>
    <t>P160NCNE24FL</t>
  </si>
  <si>
    <t>PULSAR 160 N NEGRO CARBURADA 24 FL</t>
  </si>
  <si>
    <t>KP160TDAP25C</t>
  </si>
  <si>
    <t>KIT Pulsar 160 Azul 25 CKD</t>
  </si>
  <si>
    <t>KP160TDPE25C</t>
  </si>
  <si>
    <t>KIT Pulsar 160 Perla 25 CKD</t>
  </si>
  <si>
    <t>KP160TDGR25C</t>
  </si>
  <si>
    <t>KIT Pulsar 160 Gris 25 CKD</t>
  </si>
  <si>
    <t>Pulsar N160 Gris</t>
  </si>
  <si>
    <t>P150SDPE25DI</t>
  </si>
  <si>
    <t>PULSAR N150 SD FI ABS PERLA 25</t>
  </si>
  <si>
    <t>Pulsar N150 SD FI</t>
  </si>
  <si>
    <t>Pulsar N150 SD</t>
  </si>
  <si>
    <t>Others Perla</t>
  </si>
  <si>
    <t>P150SDRO25DI</t>
  </si>
  <si>
    <t>PULSAR N150 SD FI ABS ROJO 25</t>
  </si>
  <si>
    <t>Others Rojo</t>
  </si>
  <si>
    <t>KP150SDRO25S</t>
  </si>
  <si>
    <t>KIT PULSAR N150 SD FI ABS ROJO 25 SKD</t>
  </si>
  <si>
    <t>KP150SDPE25S</t>
  </si>
  <si>
    <t>KIT PULSAR N150 SD FI ABS PERLA 25 SKD</t>
  </si>
  <si>
    <t>P125DIPU25DI</t>
  </si>
  <si>
    <t>PULSAR N125 DISC-ISG PURPURA 25</t>
  </si>
  <si>
    <t>Pulsar N125 Disc ISG</t>
  </si>
  <si>
    <t>Purpura</t>
  </si>
  <si>
    <t>Pulsar N125 Disc</t>
  </si>
  <si>
    <t>Others Purpura</t>
  </si>
  <si>
    <t>P125DIRO25DI</t>
  </si>
  <si>
    <t>PULSAR N125 DISC-ISG ROJO 25</t>
  </si>
  <si>
    <t>KP125DIRO25S</t>
  </si>
  <si>
    <t>KIT PULSAR N125 DISC-ISG ROJO 25 SKD</t>
  </si>
  <si>
    <t>KP125DIPU25S</t>
  </si>
  <si>
    <t>KIT PULSAR N125 DISC-ISG PURPURA 25 SKD</t>
  </si>
  <si>
    <t>KP125NSAM24C</t>
  </si>
  <si>
    <t>KIT PULSAR 125 NS AMARILLA 24 CKD</t>
  </si>
  <si>
    <t>Pulsar LS125</t>
  </si>
  <si>
    <t>Pulsar 125 NS (LS)</t>
  </si>
  <si>
    <t>Pulsar 125 NS</t>
  </si>
  <si>
    <t>Pulsar LS125 Amarillo</t>
  </si>
  <si>
    <t>KP125NSAM25C</t>
  </si>
  <si>
    <t>KIT Pulsar LS125  Amarillo 25 CKD</t>
  </si>
  <si>
    <t>B1JDCA8N</t>
  </si>
  <si>
    <t>KP125NSNE25C</t>
  </si>
  <si>
    <t>KIT Pulsar LS125  Negro 25 CKD</t>
  </si>
  <si>
    <t>Pulsar LS125 Negro</t>
  </si>
  <si>
    <t>B1JDCA8M</t>
  </si>
  <si>
    <t>P125ESRO22DI</t>
  </si>
  <si>
    <t>PULSAR 125 ES ROJO 22</t>
  </si>
  <si>
    <t>Pulsar LS125 Rojo</t>
  </si>
  <si>
    <t>P125LSAM24DI</t>
  </si>
  <si>
    <t>PULSAR 125 LS AMARILLA 24 D</t>
  </si>
  <si>
    <t>PULSAR 125 LS AMARILLA 24 R</t>
  </si>
  <si>
    <t>P125LSNE24DI</t>
  </si>
  <si>
    <t>PULSAR 125 LS NEGRA 24 D</t>
  </si>
  <si>
    <t>PULSAR 125 LS NEGRA 24 R</t>
  </si>
  <si>
    <t>PULSAR 125 NS AMARILLO 2019</t>
  </si>
  <si>
    <t>P125NSAM20DI</t>
  </si>
  <si>
    <t>PULSAR 125 NS AMARILLA 20 D</t>
  </si>
  <si>
    <t>PULSAR 125 NS AMARILLA 20 R</t>
  </si>
  <si>
    <t>P125NSAM21DI</t>
  </si>
  <si>
    <t>PULSAR 125 NS AMARILLA 21 D</t>
  </si>
  <si>
    <t>P125NSAM22DI</t>
  </si>
  <si>
    <t>PULSAR 125 NS AMARILLA 22 D</t>
  </si>
  <si>
    <t>P125NSAM23DI</t>
  </si>
  <si>
    <t>PULSAR 125 NS AMARILLA 23 D</t>
  </si>
  <si>
    <t>P125NSAM23FL</t>
  </si>
  <si>
    <t>PULSAR 125 NS AMARILLA 23 FL</t>
  </si>
  <si>
    <t>P125NSAM24DI</t>
  </si>
  <si>
    <t>PULSAR 125 NS AMARILLA 24 D</t>
  </si>
  <si>
    <t>P125NSAM25DI</t>
  </si>
  <si>
    <t>Pulsar LS125  Amarillo 25 D</t>
  </si>
  <si>
    <t>P125NSAM25FL</t>
  </si>
  <si>
    <t>Pulsar LS125  Amarillo 25 FL</t>
  </si>
  <si>
    <t>Pulsar LS125 Amarillo 25</t>
  </si>
  <si>
    <t>P125NSNE20DI</t>
  </si>
  <si>
    <t>PULSAR 125NS NEGRO 20 D</t>
  </si>
  <si>
    <t>P125NSNE20RE</t>
  </si>
  <si>
    <t>PULSAR 125NS NEGRO 20 R</t>
  </si>
  <si>
    <t>P125NSNE21DI</t>
  </si>
  <si>
    <t>PULSAR 125 NS NEGRA 21 D</t>
  </si>
  <si>
    <t>P125NSNE22DI</t>
  </si>
  <si>
    <t>PULSAR 125 NS NEGRA 22 D</t>
  </si>
  <si>
    <t>P125NSNE22FL</t>
  </si>
  <si>
    <t>PULSAR 125 NS NEGRA 22 FL</t>
  </si>
  <si>
    <t>P125NSNE23DI</t>
  </si>
  <si>
    <t>PULSAR 125 NS NEGRA 23 D</t>
  </si>
  <si>
    <t>P125NSNE23FL</t>
  </si>
  <si>
    <t>PULSAR 125 NS NEGRA 23 FL</t>
  </si>
  <si>
    <t>P125NSNE24DI</t>
  </si>
  <si>
    <t>PULSAR 125 NS NEGRA 24 D</t>
  </si>
  <si>
    <t>P125NSNE24FL</t>
  </si>
  <si>
    <t>PULSAR 125 NS NEGRA 24 FLOTILLA</t>
  </si>
  <si>
    <t>P125NSNE25DI</t>
  </si>
  <si>
    <t>Pulsar LS125  Negro 25 D</t>
  </si>
  <si>
    <t>P125NSNE25FL</t>
  </si>
  <si>
    <t>Pulsar LS125  Negro 25 FL</t>
  </si>
  <si>
    <t>Pulsar LS125 Negro 25</t>
  </si>
  <si>
    <t>P125NSRO20DI</t>
  </si>
  <si>
    <t>PULSAR 125NS ROJO 20 D</t>
  </si>
  <si>
    <t>P125NSRO20RE</t>
  </si>
  <si>
    <t>PULSAR 125NS ROJO 20 R</t>
  </si>
  <si>
    <t>PULSAR 125NS NEGRO 19 R</t>
  </si>
  <si>
    <t>KP250F-RO25S</t>
  </si>
  <si>
    <t>KIT Pulsar F250 FI  ROJO 25 SKD</t>
  </si>
  <si>
    <t>Pulsar F250 FI DC</t>
  </si>
  <si>
    <t>F 250</t>
  </si>
  <si>
    <t>Pulsar F250 FI DC-ABS</t>
  </si>
  <si>
    <t>Pulsar F250 FI DC-ABS Rojo</t>
  </si>
  <si>
    <t>CFJRN39V</t>
  </si>
  <si>
    <t>KP250F-NE25S</t>
  </si>
  <si>
    <t>KIT Pulsar F250 FI  NEGRO 25 SKD</t>
  </si>
  <si>
    <t>Pulsar F250 FI DC-ABS Negro</t>
  </si>
  <si>
    <t>CFJRN395</t>
  </si>
  <si>
    <t>P220NENE20DI</t>
  </si>
  <si>
    <t>PULSAR 220 NEON NEGRA 20 D</t>
  </si>
  <si>
    <t>Pulsar 220</t>
  </si>
  <si>
    <t>Pulsar 220 Neon</t>
  </si>
  <si>
    <t>Others Negro</t>
  </si>
  <si>
    <t>P220NENE20RE</t>
  </si>
  <si>
    <t>PULSAR 220 NEON NEGRA 20 R</t>
  </si>
  <si>
    <t>P220NENE21DI</t>
  </si>
  <si>
    <t>PULSAR 220 NEON NEGRA 21 D</t>
  </si>
  <si>
    <t>P220NENE22DI</t>
  </si>
  <si>
    <t>PULSAR 220 NEON NEGRA 22 D</t>
  </si>
  <si>
    <t>P200ABAP22DI</t>
  </si>
  <si>
    <t>PULSAR 200 FI+ABS AZUL PLASMA 22 DI</t>
  </si>
  <si>
    <t>Pulsar 200 FI</t>
  </si>
  <si>
    <t>Others Azul</t>
  </si>
  <si>
    <t>P200ABGR22DI</t>
  </si>
  <si>
    <t>PULSAR 200 FI+ABS GRIS 22 D</t>
  </si>
  <si>
    <t>Others Gris</t>
  </si>
  <si>
    <t>P200ABPD22DI</t>
  </si>
  <si>
    <t>PULSAR 200 FI+ABS PERLA-DICROMÁTICA 22 D</t>
  </si>
  <si>
    <t>P200ABPE22DI</t>
  </si>
  <si>
    <t>PULSAR 200 FI+ABS PERLA 22 DI</t>
  </si>
  <si>
    <t>P200ABRD22DI</t>
  </si>
  <si>
    <t>PULSAR 200 FI+ABS ROJA-DICROMÁTICA 22 D</t>
  </si>
  <si>
    <t>P200ABRO22DI</t>
  </si>
  <si>
    <t>PULSAR 200 AB ROJA 22 D</t>
  </si>
  <si>
    <t>P200ABRO22RE</t>
  </si>
  <si>
    <t>PULSAR 200 AB ROJA 22 R</t>
  </si>
  <si>
    <t>P200ABRO23DI</t>
  </si>
  <si>
    <t>PULSAR 200 FI+ABS ROJA 23 D</t>
  </si>
  <si>
    <t>P200FIAD22DI</t>
  </si>
  <si>
    <t>PULSAR 200 FI AZUL-DICROMATICA 22 D</t>
  </si>
  <si>
    <t>P200FIAM20DI</t>
  </si>
  <si>
    <t>PULSAR 200FI AMARILLO 20 D</t>
  </si>
  <si>
    <t>Others Amarillo</t>
  </si>
  <si>
    <t>P200FIAM20RE</t>
  </si>
  <si>
    <t>PULSAR 200FI AMARILLO 20 R</t>
  </si>
  <si>
    <t>P200FIAM21DI</t>
  </si>
  <si>
    <t>PULSAR 200 FI AMARILLA 21 D</t>
  </si>
  <si>
    <t>PULSAR 200 FI AMARILLA 21 R</t>
  </si>
  <si>
    <t>P200FIAP22DI</t>
  </si>
  <si>
    <t>PULSAR 200 FI AZUL PLASMA 22 D</t>
  </si>
  <si>
    <t>P200FIAP22RE</t>
  </si>
  <si>
    <t>PULSAR 200 FI AZUL PLASMA 22 R</t>
  </si>
  <si>
    <t>P200FIAZ22DI.</t>
  </si>
  <si>
    <t>PULSAR 200 FI AZUL 2022</t>
  </si>
  <si>
    <t>P200FIGN22DI</t>
  </si>
  <si>
    <t>PULSAR 200 FI GRIS-NEGRA 22 D</t>
  </si>
  <si>
    <t>PULSAR 200 FI GRIS-NEGRA 22 R</t>
  </si>
  <si>
    <t>PULSAR 200 FI NEGRO 20223</t>
  </si>
  <si>
    <t>P200FIGR22DI</t>
  </si>
  <si>
    <t>PULSAR 200 FI GRIS 22 D</t>
  </si>
  <si>
    <t>PULSAR 200 FI GRIS 22 R</t>
  </si>
  <si>
    <t>P200FIGR23DI</t>
  </si>
  <si>
    <t>PULSAR 200 FI GRIS 23 D</t>
  </si>
  <si>
    <t>PULSAR 200 FI GRIS 23 R</t>
  </si>
  <si>
    <t>P200FINE19DI</t>
  </si>
  <si>
    <t>PULSAR 200FI NEGRO 19 D</t>
  </si>
  <si>
    <t>P200FINE20DI</t>
  </si>
  <si>
    <t>PULSAR 200FI NEGRO 20 D</t>
  </si>
  <si>
    <t>PULSAR 200FI NEGRO 20 R</t>
  </si>
  <si>
    <t>P200FINE21DI</t>
  </si>
  <si>
    <t>PULSAR 200 FI NEGRA 21 D</t>
  </si>
  <si>
    <t>PULSAR 200 FI NEGRA 21 R</t>
  </si>
  <si>
    <t>P200FIPE22DI</t>
  </si>
  <si>
    <t>PULSAR 200 FI PERLA 22 D</t>
  </si>
  <si>
    <t>P200FIPE23DI</t>
  </si>
  <si>
    <t>PULSAR 200 FI PERLA 2023</t>
  </si>
  <si>
    <t>P200FIRN22RE</t>
  </si>
  <si>
    <t xml:space="preserve">PULSAR 200 FI NARANJA </t>
  </si>
  <si>
    <t>Others Naranja</t>
  </si>
  <si>
    <t>P200FIRO21DI</t>
  </si>
  <si>
    <t>PULSAR 200 FI ROJO 2021</t>
  </si>
  <si>
    <t>P200FIRO22DI</t>
  </si>
  <si>
    <t>PULSAR 200 FI ROJA 22 D</t>
  </si>
  <si>
    <t>P200FIRO23DI</t>
  </si>
  <si>
    <t>PULSAR 200 FI ROJA 23 D</t>
  </si>
  <si>
    <t>PULSAR 200 FI AZUL-DICROMATICA 22 R</t>
  </si>
  <si>
    <t>P200FIBL20RE</t>
  </si>
  <si>
    <t>PULSAR 200 FI BLANCO 2020 R</t>
  </si>
  <si>
    <t>PULSAR 200 FI NEGRO 19 R</t>
  </si>
  <si>
    <t>P200FIRO20RE</t>
  </si>
  <si>
    <t>PULSAR 200 FI ROJA 20 R</t>
  </si>
  <si>
    <t>KP150TDNE23S</t>
  </si>
  <si>
    <t>KIT PULSAR 150 TD NEGRA FI+ABS 23 SKD</t>
  </si>
  <si>
    <t>Pulsar 150</t>
  </si>
  <si>
    <t>Pulsar 150 NEON</t>
  </si>
  <si>
    <t>KP150TDRO23S</t>
  </si>
  <si>
    <t>KIT PULSAR 150 TD ROJA FI+ABS 23 SKD</t>
  </si>
  <si>
    <t>P150NENA22DI</t>
  </si>
  <si>
    <t>PULSAR 150 NEON NEGRA-AMARILLA 22 DI</t>
  </si>
  <si>
    <t>P150NENE20DI</t>
  </si>
  <si>
    <t>PULSAR 150 NEON NEGRA 20 D</t>
  </si>
  <si>
    <t>P150NENE20RE</t>
  </si>
  <si>
    <t>PULSAR 150 NEON NEGRA 20 R</t>
  </si>
  <si>
    <t>P150NENE21DI</t>
  </si>
  <si>
    <t>PULSAR 150 NEON NEGRA 21 D</t>
  </si>
  <si>
    <t>P150NENE22DI</t>
  </si>
  <si>
    <t>PULSAR 150 NEON NEGRA 22 D</t>
  </si>
  <si>
    <t>P150NENE23DI</t>
  </si>
  <si>
    <t>PULSAR 150 NEON NEGRA 23 D</t>
  </si>
  <si>
    <t>P150NENR22DI</t>
  </si>
  <si>
    <t>PULSAR 150 NEON NEGRO-ROJO 22 D</t>
  </si>
  <si>
    <t>P150NENR22FL</t>
  </si>
  <si>
    <t>PULSAR 150 NEON NEGRA-R 22 FL</t>
  </si>
  <si>
    <t>P150NENR22RE</t>
  </si>
  <si>
    <t>PULSAR 150 NEON NEGRO - ROJO 22 D</t>
  </si>
  <si>
    <t>PULSAR 150 NEON VERDE 22 R</t>
  </si>
  <si>
    <t>P150TDNE23DI</t>
  </si>
  <si>
    <t>PULSAR 150 TD NEGRA FI+ABS 23 D</t>
  </si>
  <si>
    <t>P150TDRO23DI</t>
  </si>
  <si>
    <t>PULSAR 150 TD ROJA FI+ABS 23 D</t>
  </si>
  <si>
    <t>P135LSPL19DI</t>
  </si>
  <si>
    <t>PULSAR 135LS PLATA 19 D</t>
  </si>
  <si>
    <t>Pulsar 135 LS</t>
  </si>
  <si>
    <t>Pulsar NS 135</t>
  </si>
  <si>
    <t>Others Plata</t>
  </si>
  <si>
    <t>P135LSPL19RE</t>
  </si>
  <si>
    <t>PULSAR 135LS PLATA 19 R</t>
  </si>
  <si>
    <t>PULSAR 135LS NEGRO 19 R</t>
  </si>
  <si>
    <t>KP100ESRO24C</t>
  </si>
  <si>
    <t>KIT PLATINA 100 ES ROJA 24 CKD</t>
  </si>
  <si>
    <t>Platina ES100</t>
  </si>
  <si>
    <t>Platina</t>
  </si>
  <si>
    <t>Platina 100 ES</t>
  </si>
  <si>
    <t>Platina ES100 Rojo</t>
  </si>
  <si>
    <t>KP100ESRO25C</t>
  </si>
  <si>
    <t>KIT Platina ES100 Rojo 25 CKD</t>
  </si>
  <si>
    <t>B2PFFP2V</t>
  </si>
  <si>
    <t>P100CTRO21DI</t>
  </si>
  <si>
    <t>PLATINA 100 CT ROJO 21 D</t>
  </si>
  <si>
    <t>PLATINA 100 ROJO 22</t>
  </si>
  <si>
    <t>PLATINA 100 ROJO 23</t>
  </si>
  <si>
    <t>P100ESAZ19DI</t>
  </si>
  <si>
    <t>PLATINA 100ES AZUL 19 D</t>
  </si>
  <si>
    <t>Platina ES100 Azul</t>
  </si>
  <si>
    <t>P100ESAZ20DI</t>
  </si>
  <si>
    <t>PLATINA 100ES AZUL 20 D</t>
  </si>
  <si>
    <t>P100ESNE25DI</t>
  </si>
  <si>
    <t>Platina ES100 Negro 25</t>
  </si>
  <si>
    <t>Platina ES100 Negro</t>
  </si>
  <si>
    <t>B2PFFP4C</t>
  </si>
  <si>
    <t>P100ESNE25FL</t>
  </si>
  <si>
    <t>Platina ES100 Negro 25 FL</t>
  </si>
  <si>
    <t>P100ESRO19DI</t>
  </si>
  <si>
    <t>PLATINA 100 ROJO 2019</t>
  </si>
  <si>
    <t>P100ESRO20DI</t>
  </si>
  <si>
    <t>PLATINA 100ES ROJO 20 D</t>
  </si>
  <si>
    <t>P100ESRO20RE</t>
  </si>
  <si>
    <t>PLATINA 100ES ROJO 20 R</t>
  </si>
  <si>
    <t>P100ESRO21DI</t>
  </si>
  <si>
    <t>PLATINA 100ES ROJA 21 D</t>
  </si>
  <si>
    <t>P100ESRO22DI</t>
  </si>
  <si>
    <t>PLATINA 100 ES ROJA 22 D</t>
  </si>
  <si>
    <t>P100ESRO22FL</t>
  </si>
  <si>
    <t>PLATINA 100 ES ROJA 22 FL FLOTILLA</t>
  </si>
  <si>
    <t>P100ESRO23DI</t>
  </si>
  <si>
    <t>PLATINA 100 ES ROJA 23 D</t>
  </si>
  <si>
    <t>P100ESRO23FL</t>
  </si>
  <si>
    <t>PLATINA 100 ES ROJA 23 FL FLOTILLAS</t>
  </si>
  <si>
    <t>PLATINA 100 ES ROJA 23 R</t>
  </si>
  <si>
    <t>P100ESRO24DI</t>
  </si>
  <si>
    <t>PLATINA 100 ES ROJA 24 D</t>
  </si>
  <si>
    <t>P100ESRO24FL</t>
  </si>
  <si>
    <t>PLATINA 100 ES ROJA 24 FLOTILLA</t>
  </si>
  <si>
    <t>PLATINA 100 ES ROJA 24 R</t>
  </si>
  <si>
    <t>P100ESRO25DI</t>
  </si>
  <si>
    <t>Platina ES100 Rojo 25 D</t>
  </si>
  <si>
    <t>P100ESRO25FL</t>
  </si>
  <si>
    <t>Platina ES100 Rojo 25 FL</t>
  </si>
  <si>
    <t>Platina ES100 Rojo 25</t>
  </si>
  <si>
    <t>KP100ESNE25C</t>
  </si>
  <si>
    <t>KIT Platina ES100 Negro 25 CKD</t>
  </si>
  <si>
    <t>P125ESAZ20DI</t>
  </si>
  <si>
    <t>PLATINA 125ES AZUL 20 D</t>
  </si>
  <si>
    <t>Platina 125</t>
  </si>
  <si>
    <t>Platina 125 ES</t>
  </si>
  <si>
    <t>P125ESAZ20RE</t>
  </si>
  <si>
    <t>PLATINA 125ES AZUL 20 R</t>
  </si>
  <si>
    <t>P125ESNE19DI</t>
  </si>
  <si>
    <t>PLATINA 125ES NEGRO 19 D</t>
  </si>
  <si>
    <t>P125ESNE22DI</t>
  </si>
  <si>
    <t>PLATINA 125 ES NEGRA 22 DI</t>
  </si>
  <si>
    <t>P125ESRE21DI</t>
  </si>
  <si>
    <t>PLATINA 125 ES ROJO ESCARLATA 21 D</t>
  </si>
  <si>
    <t>P125ESRE21RE</t>
  </si>
  <si>
    <t>PLATINA 125 ES ROJO ESCARLATA 21 R</t>
  </si>
  <si>
    <t>P125ESRE22DI</t>
  </si>
  <si>
    <t>PLATINA 125 ES ROJO ESCARLATA 22 D</t>
  </si>
  <si>
    <t>P125ESRO19DI</t>
  </si>
  <si>
    <t>PLATINA 125ES ROJO 19 D</t>
  </si>
  <si>
    <t>P125ESRO20DI</t>
  </si>
  <si>
    <t>PLATINA 125ES ROJO 20 D</t>
  </si>
  <si>
    <t>P125ESRO20RE</t>
  </si>
  <si>
    <t>PLATINA 125ES ROJO 20 R</t>
  </si>
  <si>
    <t>P125ESRO21DI</t>
  </si>
  <si>
    <t>PLATINA 125 ES ROJA 21 D</t>
  </si>
  <si>
    <t>PLATINA 125 ES ROJA 21 R</t>
  </si>
  <si>
    <t>PLATINA 125ES NEGRO 19 R</t>
  </si>
  <si>
    <t>P110UGAZ22DI</t>
  </si>
  <si>
    <t>PLATINA 110 UG AZUL 22 DI</t>
  </si>
  <si>
    <t>Platina 110</t>
  </si>
  <si>
    <t>P110UGRO22DI</t>
  </si>
  <si>
    <t>PLATINA 110 UG ROJA 22 DI</t>
  </si>
  <si>
    <t>KIT DE ARRASTRE COPPEL NS200</t>
  </si>
  <si>
    <t>KIT ARRASTRE COPPEL</t>
  </si>
  <si>
    <t>Na</t>
  </si>
  <si>
    <t>Others Na</t>
  </si>
  <si>
    <t>D400TENE22DI</t>
  </si>
  <si>
    <t>DOMINAR 400 TE NEGRA 22 DI</t>
  </si>
  <si>
    <t>Dominar 400</t>
  </si>
  <si>
    <t>Dominar</t>
  </si>
  <si>
    <t>Dominar D400 TE</t>
  </si>
  <si>
    <t>Dominar 400 Negro</t>
  </si>
  <si>
    <t>DOMINAR 400 TE 22 R</t>
  </si>
  <si>
    <t>D400TENE23DI</t>
  </si>
  <si>
    <t>DOMINAR 400 TE NEGRA 23 D</t>
  </si>
  <si>
    <t>D400TENE23FL</t>
  </si>
  <si>
    <t>DOMINAR 400 TE NEGRA 23 FL</t>
  </si>
  <si>
    <t>DOMINAR 400 TE NEGRA 23 R</t>
  </si>
  <si>
    <t>D400TENE24DI</t>
  </si>
  <si>
    <t>DOMINAR 400 TE NEGRA 24 D</t>
  </si>
  <si>
    <t>D400TENE24FL</t>
  </si>
  <si>
    <t>DOMINAR 400 TE NEGRA 24 FL</t>
  </si>
  <si>
    <t>DOMINAR 400 TE NEGRA 24 R</t>
  </si>
  <si>
    <t>Dominar 400 TE Negro 25 D</t>
  </si>
  <si>
    <t>C1JFSXA8</t>
  </si>
  <si>
    <t>D400TENE25FL</t>
  </si>
  <si>
    <t>Dominar 400 TE Negro 25 FL</t>
  </si>
  <si>
    <t>Dominar 400 TE Negro 25 R</t>
  </si>
  <si>
    <t>Dominar 400 TE Rojo 25 D</t>
  </si>
  <si>
    <t>Dominar 400 Rojo</t>
  </si>
  <si>
    <t>C1JFSX8X</t>
  </si>
  <si>
    <t>D400TERO25FL</t>
  </si>
  <si>
    <t>Dominar 400 TE Rojo 25 FL</t>
  </si>
  <si>
    <t>Dominar 400 TE Rojo 25 R</t>
  </si>
  <si>
    <t>D400TEVE22DI</t>
  </si>
  <si>
    <t>DOMINAR 400 TE VERDE 22 DI</t>
  </si>
  <si>
    <t>Verde</t>
  </si>
  <si>
    <t>Dominar 400 Verde</t>
  </si>
  <si>
    <t>DOMINAR 400 VERDE 2022 RE</t>
  </si>
  <si>
    <t>D400TEVE23DI</t>
  </si>
  <si>
    <t>DOMINAR 400 TE VERDE 23 D</t>
  </si>
  <si>
    <t>D400TEVE23FL</t>
  </si>
  <si>
    <t>DOMINAR 400 TE VERDE 23 FL</t>
  </si>
  <si>
    <t>DOMINAR 400 TE VERDE 23 R</t>
  </si>
  <si>
    <t>D400TEVE24DI</t>
  </si>
  <si>
    <t>DOMINAR 400 TE VERDE 24 D</t>
  </si>
  <si>
    <t>D400TEVE24FL</t>
  </si>
  <si>
    <t>DOMINAR  400 TE VERDE 24 FL</t>
  </si>
  <si>
    <t>DOMINAR 400 TE VERDE 24 R</t>
  </si>
  <si>
    <t>Dominar 400 Verde 25 D</t>
  </si>
  <si>
    <t>C1JFSX9A</t>
  </si>
  <si>
    <t>D400TEVE25FL</t>
  </si>
  <si>
    <t>Dominar 400 Verde 25 FL</t>
  </si>
  <si>
    <t>Dominar 400 Verde 25 R</t>
  </si>
  <si>
    <t>D400UGNE22DI</t>
  </si>
  <si>
    <t>DOMINAR 400 UG NEGRA 22 D</t>
  </si>
  <si>
    <t>D400UGVE22DI</t>
  </si>
  <si>
    <t>DOMINAR 400 UG VERDE 22 D</t>
  </si>
  <si>
    <t>D400UGVE22RE</t>
  </si>
  <si>
    <t>DOMINAR 400 UG VERDE 22 R</t>
  </si>
  <si>
    <t>D400XXNE20DI</t>
  </si>
  <si>
    <t>DOMINAR 400 NEGRO 20 D</t>
  </si>
  <si>
    <t>DOMINAR 400 NEGRO 20 R</t>
  </si>
  <si>
    <t>D400XXNE21DI</t>
  </si>
  <si>
    <t>DOMINAR 400 NEGRA 21 D</t>
  </si>
  <si>
    <t>DOMINAR 400 NEGRA 21 R</t>
  </si>
  <si>
    <t>DOMINAR 400 NEGRO 22 R</t>
  </si>
  <si>
    <t>D400XXVE20DI</t>
  </si>
  <si>
    <t>DOMINAR 400 VERDE 20 D</t>
  </si>
  <si>
    <t>D400XXVE20RE</t>
  </si>
  <si>
    <t>DOMINAR 400 VERDE 20 R</t>
  </si>
  <si>
    <t>D400XXVE21DI</t>
  </si>
  <si>
    <t>DOMINAR 400 VERDE 21 D</t>
  </si>
  <si>
    <t>DOMINAR 400 VERDE 21 R</t>
  </si>
  <si>
    <t>D400XXVE22DI</t>
  </si>
  <si>
    <t>DOMINAR 400 VERDE 22 D</t>
  </si>
  <si>
    <t>DOMINAR 400 VERDE 22 R</t>
  </si>
  <si>
    <t>KD400TENE24C</t>
  </si>
  <si>
    <t>KIT DOMINAR 400 TE NEGRA 24 CKD</t>
  </si>
  <si>
    <t>KD400TENE25C</t>
  </si>
  <si>
    <t>KIT Dominar 400 Negro 25 CKD</t>
  </si>
  <si>
    <t>KD400TERO25C</t>
  </si>
  <si>
    <t>KIT Dominar 400 Rojo 25 CKD</t>
  </si>
  <si>
    <t>KD400TEVE23C</t>
  </si>
  <si>
    <t>KIT DOMINAR 400 TE VERDE 23 CKD</t>
  </si>
  <si>
    <t>KD400TEVE24C</t>
  </si>
  <si>
    <t>KIT DOMINAR 400 TE VERDE 24 CKD</t>
  </si>
  <si>
    <t>KD400TEVE25C</t>
  </si>
  <si>
    <t>KIT Dominar 400 Verde 25 CKD</t>
  </si>
  <si>
    <t>D400XXAZ19RE</t>
  </si>
  <si>
    <t>DOMINAR 400 AZUL 19 R</t>
  </si>
  <si>
    <t>Dominar 400 Azul</t>
  </si>
  <si>
    <t>DOMINAR 400 NEGRO 19 R</t>
  </si>
  <si>
    <t>D400XXRO19RE</t>
  </si>
  <si>
    <t>DOMINAR 400 ROJO 19 R</t>
  </si>
  <si>
    <t>DOMINAR 400 VERDE 19 R</t>
  </si>
  <si>
    <t>D4004EAG25DI</t>
  </si>
  <si>
    <t>Dominar 400z 4 Elementos Agua 2025</t>
  </si>
  <si>
    <t>Agua</t>
  </si>
  <si>
    <t>Dominar 400 Agua</t>
  </si>
  <si>
    <t>D4004EAI25DI</t>
  </si>
  <si>
    <t>Dominar 400z 4 Elementos Aire 2025</t>
  </si>
  <si>
    <t>Aire</t>
  </si>
  <si>
    <t>Dominar 400 Aire</t>
  </si>
  <si>
    <t>D4004EFU25DI</t>
  </si>
  <si>
    <t>Dominar 400z 4 Elementos Fuego 2025</t>
  </si>
  <si>
    <t>Fuego</t>
  </si>
  <si>
    <t>Dominar 400 Fuego</t>
  </si>
  <si>
    <t>D4004ETI25DI</t>
  </si>
  <si>
    <t>Dominar 400z 4 Elementos Tierra 2025</t>
  </si>
  <si>
    <t>Tierra</t>
  </si>
  <si>
    <t>Dominar 400 Tierra</t>
  </si>
  <si>
    <t>D250UGNE22DI</t>
  </si>
  <si>
    <t>DOMINAR 250 UG NEGRA 22 D</t>
  </si>
  <si>
    <t>Dominar 250</t>
  </si>
  <si>
    <t>Dominar D250</t>
  </si>
  <si>
    <t>Dominar 250 Negro</t>
  </si>
  <si>
    <t>DOMINAR 250 UG NEGRA 22 R</t>
  </si>
  <si>
    <t>D250UGNE23DI</t>
  </si>
  <si>
    <t>DOMINAR 250 UG NEGRA 23 D</t>
  </si>
  <si>
    <t>DOMINAR 250 UG NEGRA 23 R</t>
  </si>
  <si>
    <t>D250UGNE24DI</t>
  </si>
  <si>
    <t>DOMINAR 250 UG NEGRA 24 D</t>
  </si>
  <si>
    <t>D250UGNE24FL</t>
  </si>
  <si>
    <t>DOMINAR 250 UG NEGRA 24 FL</t>
  </si>
  <si>
    <t>DOMINAR 250 UG NEGRA 24 R</t>
  </si>
  <si>
    <t>Dominar 250 Negro 25 D</t>
  </si>
  <si>
    <t>00JFFF46</t>
  </si>
  <si>
    <t>D250UGNE25FL</t>
  </si>
  <si>
    <t>Dominar 250 Negro 25 FL</t>
  </si>
  <si>
    <t>D250UGNG22DI</t>
  </si>
  <si>
    <t>DOMINAR 250 UG NEGRA-GRIS 22 DI</t>
  </si>
  <si>
    <t>D250UGNG22RE</t>
  </si>
  <si>
    <t>DOMINAR 250 UG NEGRA-GRIS 22 RE</t>
  </si>
  <si>
    <t>D250UGRG22DI</t>
  </si>
  <si>
    <t>DOMINAR 250 UG ROJA-GRIS 22 DI</t>
  </si>
  <si>
    <t>Dominar 250 Rojo</t>
  </si>
  <si>
    <t>DOMINAR 250 UG ROJA-GRIS 23 RE</t>
  </si>
  <si>
    <t>D250UGRO22DI</t>
  </si>
  <si>
    <t>DOMINAR 250 UG ROJA 22 D</t>
  </si>
  <si>
    <t>DOMINAR 250 UG ROJA 22 R</t>
  </si>
  <si>
    <t>D250UGRO23DI</t>
  </si>
  <si>
    <t>DOMINAR 250 UG ROJA 23 D</t>
  </si>
  <si>
    <t>DOMINAR 250 UG ROJA 23 R</t>
  </si>
  <si>
    <t>D250UGRO24DI</t>
  </si>
  <si>
    <t>DOMINAR 250 UG ROJA 24 D</t>
  </si>
  <si>
    <t>DOMINAR 250 UG ROJA 24 R</t>
  </si>
  <si>
    <t>D250UGRO24FL</t>
  </si>
  <si>
    <t>Dominar 250 Rojo 25 D</t>
  </si>
  <si>
    <t>B2JFFE8X</t>
  </si>
  <si>
    <t>D250UGRP25FL</t>
  </si>
  <si>
    <t>Dominar 250 Rojo 25 FL</t>
  </si>
  <si>
    <t>D250UGVE23DI</t>
  </si>
  <si>
    <t>DOMINAR 250 NEGRO 2023</t>
  </si>
  <si>
    <t>D250XXNE21DI</t>
  </si>
  <si>
    <t>DOMINAR 250 NEGRA 21 D</t>
  </si>
  <si>
    <t>DOMINAR 250 NEGRA 21 R</t>
  </si>
  <si>
    <t>DOMINAR 250 NEGRO 22 R</t>
  </si>
  <si>
    <t>D250XXRO21DI</t>
  </si>
  <si>
    <t>DOMINAR 250 ROJA 21 D</t>
  </si>
  <si>
    <t>DOMINAR 250 ROJA 21 R</t>
  </si>
  <si>
    <t>DOMINAR 250 ROJA 22 R</t>
  </si>
  <si>
    <t>KD250UGNE24C</t>
  </si>
  <si>
    <t>KIT DOMINAR 250 UG NEGRA 24 CKD</t>
  </si>
  <si>
    <t>KD250UGNE25C</t>
  </si>
  <si>
    <t>KIT Dominar 250 Negro 25 CKD</t>
  </si>
  <si>
    <t>KD250UGRO24C</t>
  </si>
  <si>
    <t>KIT DOMINAR 250 UG ROJA 24 CKD</t>
  </si>
  <si>
    <t>KD250UGRO25C</t>
  </si>
  <si>
    <t>KIT Dominar 250 Rojo 25 CKD</t>
  </si>
  <si>
    <t>00JFFF8X</t>
  </si>
  <si>
    <t>KD250XXNE21C</t>
  </si>
  <si>
    <t>KIT DOMINAR 250 NEGRA 21 CKD</t>
  </si>
  <si>
    <t>D250UGVE22DI</t>
  </si>
  <si>
    <t>DOMINAR 250 VERDE 2022 D</t>
  </si>
  <si>
    <t>Dominar 250 Verde</t>
  </si>
  <si>
    <t>D250UGAM22DI</t>
  </si>
  <si>
    <t>DOMINAR 250 UG AMARILLO 22 R</t>
  </si>
  <si>
    <t>Dominar 250 Amarillo</t>
  </si>
  <si>
    <t>D125STAZ23DI</t>
  </si>
  <si>
    <t>DISCOVER 125 ST AZUL 23 D</t>
  </si>
  <si>
    <t>Discover 125 ST</t>
  </si>
  <si>
    <t>Discover</t>
  </si>
  <si>
    <t>D125STAZ23FL</t>
  </si>
  <si>
    <t>DISCOVER 125 ST AZUL 23 FLOTILLA</t>
  </si>
  <si>
    <t>D125STNE21DI</t>
  </si>
  <si>
    <t>DISCOVER 125 ST NEGRO 21 D</t>
  </si>
  <si>
    <t>D125STRO21DI</t>
  </si>
  <si>
    <t>DISCOVER 125 ST ROJA 21 D</t>
  </si>
  <si>
    <t>D125STRO23DI</t>
  </si>
  <si>
    <t>DISCOVER 125 ST ROJA 23 D</t>
  </si>
  <si>
    <t>D125STRO23FL</t>
  </si>
  <si>
    <t>DISCOVER 125 ST ROJA 23 FLOTILLA</t>
  </si>
  <si>
    <t>D125STRO23RE</t>
  </si>
  <si>
    <t>DISCOVER 125 ST ROJA 23 R</t>
  </si>
  <si>
    <t>D125STAZ23RE</t>
  </si>
  <si>
    <t>DISCOVER 125 ST AZUL 23 R</t>
  </si>
  <si>
    <t>B100BMRO21DI</t>
  </si>
  <si>
    <t>BOXER BM100 ROJA 21 DI</t>
  </si>
  <si>
    <t>Boxer BM150</t>
  </si>
  <si>
    <t>Boxer</t>
  </si>
  <si>
    <t>Boxer BM 150</t>
  </si>
  <si>
    <t>Boxer BM150 Rojo</t>
  </si>
  <si>
    <t>B150BMAZ21DI</t>
  </si>
  <si>
    <t>BOXER 150BM AZUL 21 D</t>
  </si>
  <si>
    <t>Boxer BM150 Azul</t>
  </si>
  <si>
    <t>B150BMBL20DI</t>
  </si>
  <si>
    <t>BOXER BM150 BLANCO 20 D</t>
  </si>
  <si>
    <t>Boxer BM150 Blanco</t>
  </si>
  <si>
    <t>B150BMBL20RE</t>
  </si>
  <si>
    <t>BOXER BM150 BLANCO 20 R</t>
  </si>
  <si>
    <t>B150BMBL21DI</t>
  </si>
  <si>
    <t>BOXER 150BM BLANCA 21 D</t>
  </si>
  <si>
    <t>B150BMBL22DI</t>
  </si>
  <si>
    <t>BOXER 150 BM BLANCA 22 D</t>
  </si>
  <si>
    <t>B150BMBL22FL</t>
  </si>
  <si>
    <t>BOXER 150 BM BLANCA 22 FL FLOTILLA</t>
  </si>
  <si>
    <t>B150BMBL23DI</t>
  </si>
  <si>
    <t>BOXER 150 BM BLANCO 23 D</t>
  </si>
  <si>
    <t>B150BMBL23FL</t>
  </si>
  <si>
    <t>BOXER 150 BM BLANCA 23 FL FLOTILLA</t>
  </si>
  <si>
    <t>B150BMBL24DI</t>
  </si>
  <si>
    <t>BOXER 150 BM BLANCO 24 D</t>
  </si>
  <si>
    <t>B150BMBL24FL</t>
  </si>
  <si>
    <t>BOXER 150 BM BLANCA 24 FLOTILLA</t>
  </si>
  <si>
    <t>Boxer BM150 Blanco 25 D</t>
  </si>
  <si>
    <t>B1PFFE2D</t>
  </si>
  <si>
    <t>B150BMBL25FL</t>
  </si>
  <si>
    <t>Boxer BM150 Blanco 25 FL</t>
  </si>
  <si>
    <t>B150BMNE19DI</t>
  </si>
  <si>
    <t>BOXER BM150 NEGRO 19 D</t>
  </si>
  <si>
    <t>Boxer BM150 Negro</t>
  </si>
  <si>
    <t>B150BMNE22DI</t>
  </si>
  <si>
    <t>BOXER BM150 NEGRA 22 DI</t>
  </si>
  <si>
    <t>BOXER BM150 NEGRA 22 RE</t>
  </si>
  <si>
    <t>B150BMNE23DI</t>
  </si>
  <si>
    <t>BOXER 150 BM NEGRO 23 D</t>
  </si>
  <si>
    <t>B150BMNE23FL</t>
  </si>
  <si>
    <t>BOXER 150 BM NEGRA 23 FL FLOTILLA</t>
  </si>
  <si>
    <t>BOXER 150 BM NEGRO 23 R</t>
  </si>
  <si>
    <t>B150BMNE24DI</t>
  </si>
  <si>
    <t>BOXER 150 BM NEGRO 24 D</t>
  </si>
  <si>
    <t>B150BMNE24FL</t>
  </si>
  <si>
    <t>BOXER 150 BM NEGRA 24 FLOTILLA</t>
  </si>
  <si>
    <t>BOXER 150 BM NEGRO 24 R</t>
  </si>
  <si>
    <t>Boxer BM150 Negro 25 D</t>
  </si>
  <si>
    <t>B1PFFEX3</t>
  </si>
  <si>
    <t>B150BMNE25FL</t>
  </si>
  <si>
    <t>Boxer BM150 Negro 25 FL</t>
  </si>
  <si>
    <t>B150BMRO19DI</t>
  </si>
  <si>
    <t>BOXER BM150 ROJO 19 D</t>
  </si>
  <si>
    <t>B150BMRO19RE</t>
  </si>
  <si>
    <t>BOXER BM150 ROJO 19 R</t>
  </si>
  <si>
    <t>KB150BMBL25C</t>
  </si>
  <si>
    <t>KIT Boxer BM150 Blanco 25 CKD</t>
  </si>
  <si>
    <t>KB150BMNE25C</t>
  </si>
  <si>
    <t>KIT Boxer BM150 Negro 25 CKD</t>
  </si>
  <si>
    <t>BOXER BM100 ROJA 19 R</t>
  </si>
  <si>
    <t>A220CRBL19DI</t>
  </si>
  <si>
    <t>AVENGER CRUISE BLANCO 19 D</t>
  </si>
  <si>
    <t>Avenger Cruise 220</t>
  </si>
  <si>
    <t>Avenger</t>
  </si>
  <si>
    <t>Avenger 220 Cruise</t>
  </si>
  <si>
    <t>Avenger Cruise 220 Blanco</t>
  </si>
  <si>
    <t>A220CRBL19RE</t>
  </si>
  <si>
    <t>AVENGER CRUISE BLANCO 19 R</t>
  </si>
  <si>
    <t>A220CRBL20DI</t>
  </si>
  <si>
    <t>AVENGER CRUISE BLANCO 20 D</t>
  </si>
  <si>
    <t>A220CRBL20RE</t>
  </si>
  <si>
    <t>AVENGER CRUISE BLANCO 20 R</t>
  </si>
  <si>
    <t>A220CRNE19DI</t>
  </si>
  <si>
    <t>AVENGER CRUISE NEGRO 19 D</t>
  </si>
  <si>
    <t>Avenger Cruise 220 Negro</t>
  </si>
  <si>
    <t>A220CRNE19RE</t>
  </si>
  <si>
    <t>AVENGER CRUISE NEGRO 19 R</t>
  </si>
  <si>
    <t>A220CRNE20DI</t>
  </si>
  <si>
    <t>AVENGER CRUISE NEGRO 20 D</t>
  </si>
  <si>
    <t>AVENGER CRUISE NEGRO 20 R</t>
  </si>
  <si>
    <t>A220CRNE21DI</t>
  </si>
  <si>
    <t>AVENGER 220 CRUISE NEGRA 21 D</t>
  </si>
  <si>
    <t>A220CRNE22DI</t>
  </si>
  <si>
    <t>AVENGER 220 CRUISE NEGRA 22 DI</t>
  </si>
  <si>
    <t>A220CRNE23DI</t>
  </si>
  <si>
    <t>AVENGER 220 CRUISE NEGRO 23 D</t>
  </si>
  <si>
    <t>A220CRNE23FL</t>
  </si>
  <si>
    <t>AVENGER 220 CRUISE NEGRO 23 FL</t>
  </si>
  <si>
    <t>A220CRNE24DI</t>
  </si>
  <si>
    <t>AVENGER 220 CRUISE NEGRO 24 D</t>
  </si>
  <si>
    <t>A220CRNE24FL</t>
  </si>
  <si>
    <t>AVENGER 220 CRUISE NEGRO 24 FL</t>
  </si>
  <si>
    <t>Avenger Cruise 220 Negro 25 D</t>
  </si>
  <si>
    <t>C1PDSM9K</t>
  </si>
  <si>
    <t>A220CRNE25FL</t>
  </si>
  <si>
    <t>Avenger Cruise 220 Negro 25 FL</t>
  </si>
  <si>
    <t>A220STBL19DI</t>
  </si>
  <si>
    <t>AVENGER STREET BLANCO 19 D</t>
  </si>
  <si>
    <t>A220STBL20DI</t>
  </si>
  <si>
    <t>AVENGER STREET BLANCO 20 D</t>
  </si>
  <si>
    <t>A220STNE19DI</t>
  </si>
  <si>
    <t>AVENGER STREET NEGRO 19 D</t>
  </si>
  <si>
    <t>A220STNE19RE</t>
  </si>
  <si>
    <t>AVENGER STREET NEGRO 19 R</t>
  </si>
  <si>
    <t>A220STNE20DI</t>
  </si>
  <si>
    <t>AVENGER STREET NEGRO 20 D</t>
  </si>
  <si>
    <t>KA220CRNE24C</t>
  </si>
  <si>
    <t>KIT AVENGER 220 CRUISE NEGRO 24 CKD</t>
  </si>
  <si>
    <t>KA220CRNE25C</t>
  </si>
  <si>
    <t>KIT Avenger Cruise 220 Negro 25 CKD</t>
  </si>
  <si>
    <t>A220STBL19RE</t>
  </si>
  <si>
    <t>AVENGER STREET BLANCO 19 R</t>
  </si>
  <si>
    <t>AVENGER CRUISE BLANCO 21 R</t>
  </si>
  <si>
    <t>A220CRBL22DI</t>
  </si>
  <si>
    <t>AVENGER CRUISE 220 BLANCO 22 D</t>
  </si>
  <si>
    <t>P250N-PE25DI</t>
  </si>
  <si>
    <t>Pulsar N250 FI ABS Perla 25  DI</t>
  </si>
  <si>
    <t>P250N-PE25RE</t>
  </si>
  <si>
    <t>Pulsar N250 FI ABS Perla 25  RE</t>
  </si>
  <si>
    <t>P250N-PE25FL</t>
  </si>
  <si>
    <t>Pulsar N250 FI ABS Perla 25  FL</t>
  </si>
  <si>
    <t>P160NUAZ25DI</t>
  </si>
  <si>
    <t>N160 FI ABS Azul  UG 25 DI</t>
  </si>
  <si>
    <t>P160NUAZ25RE</t>
  </si>
  <si>
    <t>N160 FI ABS Azul  UG 25 RE</t>
  </si>
  <si>
    <t>P160NUAZ25FL</t>
  </si>
  <si>
    <t>N160 FI ABS Azul  UG 25 FL</t>
  </si>
  <si>
    <t>KA220CRNE26C</t>
  </si>
  <si>
    <t>KITAvenger Cruise 220Negro26CKD</t>
  </si>
  <si>
    <t>KB150BMBL26C</t>
  </si>
  <si>
    <t>KITBoxer BM150Blanco26CKD</t>
  </si>
  <si>
    <t>KB150BMNE26C</t>
  </si>
  <si>
    <t>KITBoxer BM150Negro26CKD</t>
  </si>
  <si>
    <t>KD400TENE26C</t>
  </si>
  <si>
    <t>KITDominar 400Negro26CKD</t>
  </si>
  <si>
    <t>B3JFFRA8</t>
  </si>
  <si>
    <t>KD400TERO26C</t>
  </si>
  <si>
    <t>KITDominar 400Rojo26CKD</t>
  </si>
  <si>
    <t>B3JFFR8X</t>
  </si>
  <si>
    <t>KD400TEVE26C</t>
  </si>
  <si>
    <t>KITDominar 400Verde26CKD</t>
  </si>
  <si>
    <t>B3JFFR9A</t>
  </si>
  <si>
    <t>KD250UGNE26C</t>
  </si>
  <si>
    <t>KITDominar 250Negro26CKD</t>
  </si>
  <si>
    <t>KD250UGRO26C</t>
  </si>
  <si>
    <t>KITDominar 250Rojo26CKD</t>
  </si>
  <si>
    <t>KP200RSGR26C</t>
  </si>
  <si>
    <t>KITPulsar RS200 Gris26CKD</t>
  </si>
  <si>
    <t>KP200RSPE26C</t>
  </si>
  <si>
    <t>KITPulsar RS200 Perla26CKD</t>
  </si>
  <si>
    <t>KP250N-NE26C</t>
  </si>
  <si>
    <t>KITPulsar N250 FI ABSNegro26CKD</t>
  </si>
  <si>
    <t>KP250N-RO26C</t>
  </si>
  <si>
    <t>KITPulsar N250 FI ABSRojo26CKD</t>
  </si>
  <si>
    <t>KP250N-PE26C</t>
  </si>
  <si>
    <t>KITPulsar N250 FI ABSPerla26CKD</t>
  </si>
  <si>
    <t>KP125UGGR26C</t>
  </si>
  <si>
    <t>KITPulsar NS125 UGGris26CKD</t>
  </si>
  <si>
    <t xml:space="preserve">Pulsar NS125 UG </t>
  </si>
  <si>
    <t xml:space="preserve">NS 125 </t>
  </si>
  <si>
    <t>KP125UGNA26C</t>
  </si>
  <si>
    <t>KITPulsar NS125 UGNaranja26CKD</t>
  </si>
  <si>
    <t>KP125UGAZ26C</t>
  </si>
  <si>
    <t>KITPulsar NS125 UGAzul26CKD</t>
  </si>
  <si>
    <t>KP160NCNE26C</t>
  </si>
  <si>
    <t>KITPulsar N160Negro26CKD</t>
  </si>
  <si>
    <t>KP160NCAZ26C</t>
  </si>
  <si>
    <t>KITPulsar N160Azul26CKD</t>
  </si>
  <si>
    <t>KP160NCPE26C</t>
  </si>
  <si>
    <t>KITPulsar N160Perla26CKD</t>
  </si>
  <si>
    <t>KP160UGNE26C</t>
  </si>
  <si>
    <t>KITPulsar NS160 UGNegro26CKD</t>
  </si>
  <si>
    <t>KP160UGPE26C</t>
  </si>
  <si>
    <t>KITPulsar NS160 UGPerla26CKD</t>
  </si>
  <si>
    <t>KP160UGGR26C</t>
  </si>
  <si>
    <t>KITPulsar NS160 UGGris26CKD</t>
  </si>
  <si>
    <t>KP200UGNE26C</t>
  </si>
  <si>
    <t>KITPulsar NS200 UGNegro26CKD</t>
  </si>
  <si>
    <t>KP200UGRO26C</t>
  </si>
  <si>
    <t>KITPulsar NS200 UGRojo26CKD</t>
  </si>
  <si>
    <t>KP200UGGR26C</t>
  </si>
  <si>
    <t>KITPulsar NS200 UGGris26CKD</t>
  </si>
  <si>
    <t>KP100ESRO26C</t>
  </si>
  <si>
    <t>KITPlatina ES100Rojo26CKD</t>
  </si>
  <si>
    <t>Platina ES 100</t>
  </si>
  <si>
    <t>KP250NCAM26C</t>
  </si>
  <si>
    <t>KITPulsar N250 Amarillo26CKD</t>
  </si>
  <si>
    <t>KP250NCAZ26C</t>
  </si>
  <si>
    <t>KITPulsar N250 Azul26CKD</t>
  </si>
  <si>
    <t>KP250NCNE26C</t>
  </si>
  <si>
    <t>KITPulsar N250 Negro26CKD</t>
  </si>
  <si>
    <t xml:space="preserve"> N 250</t>
  </si>
  <si>
    <t>KP400NSNE26C</t>
  </si>
  <si>
    <t>KITPulsar NS400zNegro26CKD</t>
  </si>
  <si>
    <t>KP400NSPE26C</t>
  </si>
  <si>
    <t>KITPulsar NS400zPerla26CKD</t>
  </si>
  <si>
    <t>KP400NSRO26C</t>
  </si>
  <si>
    <t>KITPulsar NS400zRojo26CKD</t>
  </si>
  <si>
    <t>KP400NSGR26C</t>
  </si>
  <si>
    <t>KITPulsar NS400zGris26CKD</t>
  </si>
  <si>
    <t>KP160NUNE26C</t>
  </si>
  <si>
    <t>KITPulsar N160 FI ABSNegro26CKD</t>
  </si>
  <si>
    <t xml:space="preserve">N 160 </t>
  </si>
  <si>
    <t>B3JRG79V</t>
  </si>
  <si>
    <t>KP160NUAZ26C</t>
  </si>
  <si>
    <t>KITPulsar N160 FI ABSAzul26CKD</t>
  </si>
  <si>
    <t>KP160NPNE26C</t>
  </si>
  <si>
    <t>KITPulsar N160 PremiumNegro26CKD</t>
  </si>
  <si>
    <t>Pulsar N160 FI ABS PREMIUM</t>
  </si>
  <si>
    <t>Pulsar N 160</t>
  </si>
  <si>
    <t>Pulsar N160 FI ABS PREMIUM Negro</t>
  </si>
  <si>
    <t>B1JRF7BT</t>
  </si>
  <si>
    <t>KP160NPPE26C</t>
  </si>
  <si>
    <t>KITPulsar N160 PremiumPerla26CKD</t>
  </si>
  <si>
    <t>Pulsar N160 FI ABS PREMIUM Perla</t>
  </si>
  <si>
    <t>B1JRF742</t>
  </si>
  <si>
    <t>KP160NPRO26C</t>
  </si>
  <si>
    <t>KITPulsar N160 PremiumRojo26CKD</t>
  </si>
  <si>
    <t>Pulsar N160 FI ABS PREMIUM Rojo</t>
  </si>
  <si>
    <t>B1JRF795</t>
  </si>
  <si>
    <t>KP160NPAZ26C</t>
  </si>
  <si>
    <t>KITPulsar N160 PremiumAzul26CKD</t>
  </si>
  <si>
    <t>Pulsar N160 FI ABS PREMIUM Azul</t>
  </si>
  <si>
    <t>B1JRF7BN</t>
  </si>
  <si>
    <t>KP250F-NE26C</t>
  </si>
  <si>
    <t>KITPulsar F 250 FI DC ABSNegro26CKD</t>
  </si>
  <si>
    <t>KP250F-PE26C</t>
  </si>
  <si>
    <t>KITPulsar F 250 FI DC ABSPerla26CKD</t>
  </si>
  <si>
    <t xml:space="preserve">F 250 </t>
  </si>
  <si>
    <t>Pulsar F250 FI DC-ABS Perla</t>
  </si>
  <si>
    <t>CFJRN342</t>
  </si>
  <si>
    <t>KP250F-RO26C</t>
  </si>
  <si>
    <t>KITPulsar F 250 FI DC ABSRojo26CKD</t>
  </si>
  <si>
    <t>KP125N-RO26C</t>
  </si>
  <si>
    <t>KITPulsar N125 FI-CBSRojo26CKD</t>
  </si>
  <si>
    <t>Pulsar N125 FI-CBS</t>
  </si>
  <si>
    <t xml:space="preserve">Pulsar N125 FI CBS </t>
  </si>
  <si>
    <t xml:space="preserve">N 125 </t>
  </si>
  <si>
    <t>Pulsar N125 FI-CBS Rojo</t>
  </si>
  <si>
    <t>00JZF96J</t>
  </si>
  <si>
    <t>KP125N-PU26C</t>
  </si>
  <si>
    <t>KITPulsar N125 FI-CBSPurpura26CKD</t>
  </si>
  <si>
    <t>Pulsar N125 FI CBS</t>
  </si>
  <si>
    <t>N 125</t>
  </si>
  <si>
    <t>Pulsar N125 FI-CBS Purpura</t>
  </si>
  <si>
    <t>00JZF9DA</t>
  </si>
  <si>
    <t>KP125N-CI26C</t>
  </si>
  <si>
    <t>KITPulsar N125 FI-CBSCitrus26CKD</t>
  </si>
  <si>
    <t>Citrus</t>
  </si>
  <si>
    <t>N125</t>
  </si>
  <si>
    <t>Pulsar N125 FI-CBS Citrus</t>
  </si>
  <si>
    <t>00JZF932</t>
  </si>
  <si>
    <t>A220CRNE26DI</t>
  </si>
  <si>
    <t xml:space="preserve">Avenger Cruise 220 Negro 26 </t>
  </si>
  <si>
    <t>B150BMBL26DI</t>
  </si>
  <si>
    <t xml:space="preserve">Boxer BM150 Blanco 26 </t>
  </si>
  <si>
    <t>B150BMNE26DI</t>
  </si>
  <si>
    <t xml:space="preserve">Boxer BM150 Negro 26 </t>
  </si>
  <si>
    <t>D400TENE26DI</t>
  </si>
  <si>
    <t xml:space="preserve">Dominar 400 Negro 26 </t>
  </si>
  <si>
    <t>D400TERO26DI</t>
  </si>
  <si>
    <t xml:space="preserve">Dominar 400 Rojo 26 </t>
  </si>
  <si>
    <t>D400TEVE26DI</t>
  </si>
  <si>
    <t xml:space="preserve">Dominar 400 Verde 26 </t>
  </si>
  <si>
    <t>D250UGNE26DI</t>
  </si>
  <si>
    <t xml:space="preserve">Dominar 250 Negro 26 </t>
  </si>
  <si>
    <t>D250UGRO26DI</t>
  </si>
  <si>
    <t xml:space="preserve">Dominar 250 Rojo 26 </t>
  </si>
  <si>
    <t>P200RSGR26DI</t>
  </si>
  <si>
    <t xml:space="preserve">Pulsar RS200  Gris 26 </t>
  </si>
  <si>
    <t>P200RSPE26DI</t>
  </si>
  <si>
    <t xml:space="preserve">Pulsar RS200  Perla 26 </t>
  </si>
  <si>
    <t>P250N-NE26DI</t>
  </si>
  <si>
    <t xml:space="preserve">Pulsar N250 FI ABS Negro 26 </t>
  </si>
  <si>
    <t>P250N-RO26DI</t>
  </si>
  <si>
    <t xml:space="preserve">Pulsar N250 FI ABS Rojo 26 </t>
  </si>
  <si>
    <t>P250N-PE26DI</t>
  </si>
  <si>
    <t xml:space="preserve">Pulsar N250 FI ABS Perla 26 </t>
  </si>
  <si>
    <t>P125UGGR26DI</t>
  </si>
  <si>
    <t xml:space="preserve">Pulsar NS125 UG Gris 26 </t>
  </si>
  <si>
    <t>P125UGNA26DI</t>
  </si>
  <si>
    <t xml:space="preserve">Pulsar NS125 UG Naranja 26 </t>
  </si>
  <si>
    <t>P125UGAZ26DI</t>
  </si>
  <si>
    <t xml:space="preserve">Pulsar NS125 UG Azul 26 </t>
  </si>
  <si>
    <t>P160NCNE26DI</t>
  </si>
  <si>
    <t xml:space="preserve">Pulsar N160 Negro 26 </t>
  </si>
  <si>
    <t>P160NCAZ26DI</t>
  </si>
  <si>
    <t xml:space="preserve">Pulsar N160 Azul 26 </t>
  </si>
  <si>
    <t>P160NCPE26DI</t>
  </si>
  <si>
    <t xml:space="preserve">Pulsar N160 Perla 26 </t>
  </si>
  <si>
    <t>P160UGNE26DI</t>
  </si>
  <si>
    <t xml:space="preserve">Pulsar NS160 UG Negro 26 </t>
  </si>
  <si>
    <t>P160UGPE26DI</t>
  </si>
  <si>
    <t xml:space="preserve">Pulsar NS160 UG Perla 26 </t>
  </si>
  <si>
    <t>P160UGGR26DI</t>
  </si>
  <si>
    <t xml:space="preserve">Pulsar NS160 UG Gris 26 </t>
  </si>
  <si>
    <t>P200UGNE26DI</t>
  </si>
  <si>
    <t xml:space="preserve">Pulsar NS200 UG Negro 26 </t>
  </si>
  <si>
    <t>P200UGRO26DI</t>
  </si>
  <si>
    <t xml:space="preserve">Pulsar NS200 UG Rojo 26 </t>
  </si>
  <si>
    <t>P200UGGR26DI</t>
  </si>
  <si>
    <t xml:space="preserve">Pulsar NS200 UG Gris 26 </t>
  </si>
  <si>
    <t>P100ESRO26DI</t>
  </si>
  <si>
    <t xml:space="preserve">Platina ES100 Rojo 26 </t>
  </si>
  <si>
    <t>P250NCAM26DI</t>
  </si>
  <si>
    <t xml:space="preserve">Pulsar N250  Amarillo 26 </t>
  </si>
  <si>
    <t>P250NCAZ26DI</t>
  </si>
  <si>
    <t xml:space="preserve">Pulsar N250  Azul 26 </t>
  </si>
  <si>
    <t>P250NCNE26DI</t>
  </si>
  <si>
    <t xml:space="preserve">Pulsar N250  Negro 26 </t>
  </si>
  <si>
    <t>P400NSNE26DI</t>
  </si>
  <si>
    <t xml:space="preserve">Pulsar NS400z Negro 26 </t>
  </si>
  <si>
    <t>P400NSPE26DI</t>
  </si>
  <si>
    <t xml:space="preserve">Pulsar NS400z Perla 26 </t>
  </si>
  <si>
    <t>P400NSRO26DI</t>
  </si>
  <si>
    <t xml:space="preserve">Pulsar NS400z Rojo 26 </t>
  </si>
  <si>
    <t>P400NSGR26DI</t>
  </si>
  <si>
    <t xml:space="preserve">Pulsar NS400z Gris 26 </t>
  </si>
  <si>
    <t>P160NUNE26DI</t>
  </si>
  <si>
    <t xml:space="preserve">Pulsar N160 FI ABS Negro 26 </t>
  </si>
  <si>
    <t>P160NUAZ26DI</t>
  </si>
  <si>
    <t xml:space="preserve">Pulsar N160 FI ABS Azul 26 </t>
  </si>
  <si>
    <t>P160NPNE26DI</t>
  </si>
  <si>
    <t xml:space="preserve">Pulsar N160 Premium Negro 26 </t>
  </si>
  <si>
    <t>P160NPPE26DI</t>
  </si>
  <si>
    <t xml:space="preserve">Pulsar N160 Premium Perla 26 </t>
  </si>
  <si>
    <t>P160NPRO26DI</t>
  </si>
  <si>
    <t xml:space="preserve">Pulsar N160 Premium Rojo 26 </t>
  </si>
  <si>
    <t>P160NPAZ26DI</t>
  </si>
  <si>
    <t xml:space="preserve">Pulsar N160 Premium Azul 26 </t>
  </si>
  <si>
    <t>P250F-NE26DI</t>
  </si>
  <si>
    <t xml:space="preserve">Pulsar F 250 FI DC ABS Negro 26 </t>
  </si>
  <si>
    <t>P250F-PE26DI</t>
  </si>
  <si>
    <t xml:space="preserve">Pulsar F 250 FI DC ABS Perla 26 </t>
  </si>
  <si>
    <t>P250F-RO26DI</t>
  </si>
  <si>
    <t xml:space="preserve">Pulsar F 250 FI DC ABS Rojo 26 </t>
  </si>
  <si>
    <t>P125N-RO26DI</t>
  </si>
  <si>
    <t xml:space="preserve">Pulsar N125 FI-CBS Rojo 26 </t>
  </si>
  <si>
    <t>P125N-PU26DI</t>
  </si>
  <si>
    <t xml:space="preserve">Pulsar N125 FI-CBS Purpura 26 </t>
  </si>
  <si>
    <t>P125N-CI26DI</t>
  </si>
  <si>
    <t xml:space="preserve">Pulsar N125 FI-CBS Citrus 26 </t>
  </si>
  <si>
    <t>B150BMBL26RE</t>
  </si>
  <si>
    <t>B150BMNE26RE</t>
  </si>
  <si>
    <t>D250UGNE26RE</t>
  </si>
  <si>
    <t>D250UGRO26RE</t>
  </si>
  <si>
    <t>P200RSGR26RE</t>
  </si>
  <si>
    <t>P125UGAZ26RE</t>
  </si>
  <si>
    <t>P160NCAZ26RE</t>
  </si>
  <si>
    <t>P160NCPE26RE</t>
  </si>
  <si>
    <t>P100ESRO26RE</t>
  </si>
  <si>
    <t>P400NSPE26RE</t>
  </si>
  <si>
    <t>P400NSRO26RE</t>
  </si>
  <si>
    <t>P160NUAZ26RE</t>
  </si>
  <si>
    <t>P160NPNE26RE</t>
  </si>
  <si>
    <t>P160NPPE26RE</t>
  </si>
  <si>
    <t>P160NPRO26RE</t>
  </si>
  <si>
    <t>P160NPAZ26RE</t>
  </si>
  <si>
    <t>P250F-NE26RE</t>
  </si>
  <si>
    <t>P250F-PE26RE</t>
  </si>
  <si>
    <t>A220CRNE26FL</t>
  </si>
  <si>
    <t>B150BMBL26FL</t>
  </si>
  <si>
    <t>B150BMNE26FL</t>
  </si>
  <si>
    <t>D400TENE26FL</t>
  </si>
  <si>
    <t>D400TERO26FL</t>
  </si>
  <si>
    <t>D400TEVE26FL</t>
  </si>
  <si>
    <t>D250UGNE26FL</t>
  </si>
  <si>
    <t>D250UGRO26FL</t>
  </si>
  <si>
    <t>P200RSGR26FL</t>
  </si>
  <si>
    <t>P200RSPE26FL</t>
  </si>
  <si>
    <t>P250N-NE26FL</t>
  </si>
  <si>
    <t>P250N-RO26FL</t>
  </si>
  <si>
    <t>P250N-PE26FL</t>
  </si>
  <si>
    <t>P125UGGR26FL</t>
  </si>
  <si>
    <t>P125UGNA26FL</t>
  </si>
  <si>
    <t>P125UGAZ26FL</t>
  </si>
  <si>
    <t>P160NCNE26FL</t>
  </si>
  <si>
    <t>P160NCAZ26FL</t>
  </si>
  <si>
    <t>P160NCPE26FL</t>
  </si>
  <si>
    <t>P160UGNE26FL</t>
  </si>
  <si>
    <t>P160UGPE26FL</t>
  </si>
  <si>
    <t>P160UGGR26FL</t>
  </si>
  <si>
    <t>P200UGNE26FL</t>
  </si>
  <si>
    <t>P200UGRO26FL</t>
  </si>
  <si>
    <t>P200UGGR26FL</t>
  </si>
  <si>
    <t>P100ESRO26FL</t>
  </si>
  <si>
    <t>P250NCAM26FL</t>
  </si>
  <si>
    <t>P250NCAZ26FL</t>
  </si>
  <si>
    <t>P250NCNE26FL</t>
  </si>
  <si>
    <t>P400NSNE26FL</t>
  </si>
  <si>
    <t>P400NSPE26FL</t>
  </si>
  <si>
    <t>P400NSRO26FL</t>
  </si>
  <si>
    <t>P400NSGR26FL</t>
  </si>
  <si>
    <t>P160NUNE26FL</t>
  </si>
  <si>
    <t>P160NUAZ26FL</t>
  </si>
  <si>
    <t>P160NPNE26FL</t>
  </si>
  <si>
    <t>P160NPPE26FL</t>
  </si>
  <si>
    <t>P160NPRO26FL</t>
  </si>
  <si>
    <t>P160NPAZ26FL</t>
  </si>
  <si>
    <t>P250F-NE26FL</t>
  </si>
  <si>
    <t>P250F-PE26FL</t>
  </si>
  <si>
    <t>P250F-RO26FL</t>
  </si>
  <si>
    <t>P125N-RO26FL</t>
  </si>
  <si>
    <t>P125N-PU26FL</t>
  </si>
  <si>
    <t>P125N-CI26FL</t>
  </si>
  <si>
    <t>P250NUPE25FL</t>
  </si>
  <si>
    <t xml:space="preserve">Pulsar N250 FI ABS UG2 Perla 25 FL </t>
  </si>
  <si>
    <t>KP200FINE26C</t>
  </si>
  <si>
    <t xml:space="preserve">Pulsar NS200 FI  Negro 26 </t>
  </si>
  <si>
    <t>Pulsar NS200 FI ABS</t>
  </si>
  <si>
    <t>Pulsar NS200 FI ABS Negro</t>
  </si>
  <si>
    <t>B3JLCVAL</t>
  </si>
  <si>
    <t>KP200FIRO26C</t>
  </si>
  <si>
    <t xml:space="preserve">Pulsar NS200 FI  Rojo 26 </t>
  </si>
  <si>
    <t>Pulsar NS200 FI ABS Rojo</t>
  </si>
  <si>
    <t>B3JLCVBH</t>
  </si>
  <si>
    <t>KP200FIGR26C</t>
  </si>
  <si>
    <t xml:space="preserve">Pulsar NS200 FI  Gris 26 </t>
  </si>
  <si>
    <t>Pulsar NS200 FI ABS Gris</t>
  </si>
  <si>
    <t>B3JLCVBJ</t>
  </si>
  <si>
    <t>KP125NCRO26C</t>
  </si>
  <si>
    <t xml:space="preserve">Pulsar N125 Car Rojo 26 </t>
  </si>
  <si>
    <t>Pulsar N125</t>
  </si>
  <si>
    <t>Pulsar N125 Rojo</t>
  </si>
  <si>
    <t>B2JZF46J</t>
  </si>
  <si>
    <t>KP125NCPU26C</t>
  </si>
  <si>
    <t xml:space="preserve">Pulsar N125 Car Purpura 26 </t>
  </si>
  <si>
    <t>Pulsar N125 Purpura</t>
  </si>
  <si>
    <t>B2JZF4DA</t>
  </si>
  <si>
    <t>KP125NCCI26C</t>
  </si>
  <si>
    <t xml:space="preserve">Pulsar N125 Car Citrus 26 </t>
  </si>
  <si>
    <t>Pulsar N125 Citrus</t>
  </si>
  <si>
    <t>B2JZF4DT</t>
  </si>
  <si>
    <t>P200FINE26DI</t>
  </si>
  <si>
    <t>P200FIRO26DI</t>
  </si>
  <si>
    <t>P200FIGR26DI</t>
  </si>
  <si>
    <t>P125NCRO26DI</t>
  </si>
  <si>
    <t>P125NCPU26DI</t>
  </si>
  <si>
    <t>P125NCCI26DI</t>
  </si>
  <si>
    <t>P200FINE26RE</t>
  </si>
  <si>
    <t>P200FIRO26RE</t>
  </si>
  <si>
    <t>P200FIGR26RE</t>
  </si>
  <si>
    <t>P125NCRO26RE</t>
  </si>
  <si>
    <t>P125NCPU26RE</t>
  </si>
  <si>
    <t>P125NCCI26RE</t>
  </si>
  <si>
    <t>P200FINE26FL</t>
  </si>
  <si>
    <t>P200FIRO26FL</t>
  </si>
  <si>
    <t>P200FIGR26FL</t>
  </si>
  <si>
    <t>P125NCRO26FL</t>
  </si>
  <si>
    <t>P125NCPU26FL</t>
  </si>
  <si>
    <t>P125NCCI26FL</t>
  </si>
  <si>
    <t>P250NUBL25DI</t>
  </si>
  <si>
    <t>Pulsar N250 FI ABS UG Blanco</t>
  </si>
  <si>
    <t>KP200NSNE26C</t>
  </si>
  <si>
    <t xml:space="preserve">Pulsar NS200 Negro 26 </t>
  </si>
  <si>
    <t>KP200NSRO26C</t>
  </si>
  <si>
    <t xml:space="preserve">Pulsar NS200 Rojo 26 </t>
  </si>
  <si>
    <t>KP200NSGR26C</t>
  </si>
  <si>
    <t xml:space="preserve">Pulsar NS200 Gris 26 </t>
  </si>
  <si>
    <t>P200NSNE26DI</t>
  </si>
  <si>
    <t>P200NSRO26DI</t>
  </si>
  <si>
    <t>P200NSGR26DI</t>
  </si>
  <si>
    <t>P200NSNE26RE</t>
  </si>
  <si>
    <t>P200NSNE26FL</t>
  </si>
  <si>
    <t>P200NSRO26FL</t>
  </si>
  <si>
    <t>P200NSGR26FL</t>
  </si>
  <si>
    <t>KP160NSNE26C</t>
  </si>
  <si>
    <t xml:space="preserve">Pulsar NS160 Negro 26 </t>
  </si>
  <si>
    <t>Pulsar NS160 Negro</t>
  </si>
  <si>
    <t>KP160NSPE26C</t>
  </si>
  <si>
    <t xml:space="preserve">Pulsar NS160 Perla 26 </t>
  </si>
  <si>
    <t>Pulsar NS160 Perla</t>
  </si>
  <si>
    <t>KP160NSGR26C</t>
  </si>
  <si>
    <t xml:space="preserve">Pulsar NS160 Gris 26 </t>
  </si>
  <si>
    <t>Pulsar NS160 Gris</t>
  </si>
  <si>
    <t>P160NSNE26DI</t>
  </si>
  <si>
    <t>P160NSPE26DI</t>
  </si>
  <si>
    <t>P160NSGR26DI</t>
  </si>
  <si>
    <t>P160NSNE26RE</t>
  </si>
  <si>
    <t>P160NSNE26FL</t>
  </si>
  <si>
    <t>P160NSPE26FL</t>
  </si>
  <si>
    <t>P160NSGR26FL</t>
  </si>
  <si>
    <t>KP160CANE26C</t>
  </si>
  <si>
    <t>KP160CAAZ26C</t>
  </si>
  <si>
    <t>KP160CAPE26C</t>
  </si>
  <si>
    <t>P160CANE26DI</t>
  </si>
  <si>
    <t>P160CAAZ26DI</t>
  </si>
  <si>
    <t>P160CAPE26DI</t>
  </si>
  <si>
    <t>P160CAAZ26RE</t>
  </si>
  <si>
    <t>P160CAPE26RE</t>
  </si>
  <si>
    <t>P160CANE26FL</t>
  </si>
  <si>
    <t>P160CAAZ26FL</t>
  </si>
  <si>
    <t>P160CAPE26FL</t>
  </si>
  <si>
    <t>SKU</t>
  </si>
  <si>
    <t>Cadena</t>
  </si>
  <si>
    <t>Color</t>
  </si>
  <si>
    <t>Año Modelo</t>
  </si>
  <si>
    <t>PULSAR NS200 NEGRO 26</t>
  </si>
  <si>
    <t>PULSAR NS200 NEGRO 2025</t>
  </si>
  <si>
    <t>PULSAR N160 PREMIUM NEGRO 26</t>
  </si>
  <si>
    <t>PULSAR N125 FI-CBS, 2026 PURPURA</t>
  </si>
  <si>
    <t>PULSAR NS 160 UG 2025 GRIS</t>
  </si>
  <si>
    <t>2022 BAJ PULSAR NS 200 FI GRIS</t>
  </si>
  <si>
    <t>DOMINAR 400 TE, 2026 VERDE</t>
  </si>
  <si>
    <t>PULSAR N160 PREMIUM NEGRO 2026</t>
  </si>
  <si>
    <t>PULSAR N250 FI ABS ROJO 2026</t>
  </si>
  <si>
    <t>A0002834</t>
  </si>
  <si>
    <t>A0004497</t>
  </si>
  <si>
    <t>A0004495</t>
  </si>
  <si>
    <t>SAM´S CLUB</t>
  </si>
  <si>
    <t>BOXER 150 BM 2025 BLANCO</t>
  </si>
  <si>
    <t>CSG-ACEITE BAJAJ 20W50 1.0L SINTETICO</t>
  </si>
  <si>
    <t>Pulsar N160 Premium Negro Mod. 2026</t>
  </si>
  <si>
    <t>Pulsar NS160 Perla Mod. 2026</t>
  </si>
  <si>
    <t>MOTOCICLETA BAJAJ PULSAR NS 160 NEGRO</t>
  </si>
  <si>
    <t>A0004476</t>
  </si>
  <si>
    <t>A0004494</t>
  </si>
  <si>
    <t>A0004496</t>
  </si>
  <si>
    <t>A0004477</t>
  </si>
  <si>
    <t>Pulsar Ns200  Ug Gris Mod. 2026</t>
  </si>
  <si>
    <t>Pulsar NS160 Negro Mod. 2026</t>
  </si>
  <si>
    <t>Pulsar Ns200 Ug Roja Mod. 2026</t>
  </si>
  <si>
    <t>Pulsar Ns200 Ug Negra Mod. 2026</t>
  </si>
  <si>
    <t>2024 BAJAJ DOMINAR 250 NEGRA 25, NEGRO</t>
  </si>
  <si>
    <t>2026 BAJAJ PULSAR F250 NEGRO 25, NEGROL</t>
  </si>
  <si>
    <t>MOTOCICLETA BAJAJ PULSAR LS125CC AM</t>
  </si>
  <si>
    <t>MOTOCICLETA BAJAJ PULSAR LS125CC NE</t>
  </si>
  <si>
    <t>PULSAR N250 UG FI ABS PERLA 2025 BAJAJ PERLA</t>
  </si>
  <si>
    <t>2026 BAJAJ PULSAR NS200 NEGRO 2, NEGROC</t>
  </si>
  <si>
    <t>2026 BAJAJ PULSAR NS400Z NEGRO , NEGROC</t>
  </si>
  <si>
    <t>PULSAR LS 125 AMARILLO 2025</t>
  </si>
  <si>
    <t>PULSAR LS 125 NEGRO 2025</t>
  </si>
  <si>
    <t>PULSAR N250 CARBURADA AZUL 2026</t>
  </si>
  <si>
    <t>MOTOCICLETA BAJAJ PULSAR F250 ROJO 2026</t>
  </si>
  <si>
    <t>MOTOCICLETA BAJAJ PULSAR N125 AMARILLO 2026</t>
  </si>
  <si>
    <t>MOTOCICLETA BAJAJ PULSAR F250CC NEGRO 2026</t>
  </si>
  <si>
    <t>MOTOCICLETA BAJAJ PULSAR LS125CC NEGRO 2025</t>
  </si>
  <si>
    <t>MOTOCICLETA BAJAJ PULSAR LS125CC AMARILLO 2025</t>
  </si>
  <si>
    <t>Liverpool</t>
  </si>
  <si>
    <t>Suburbia</t>
  </si>
  <si>
    <t>1193546265</t>
  </si>
  <si>
    <t>1193546257</t>
  </si>
  <si>
    <t>1077436665</t>
  </si>
  <si>
    <t>1196319936</t>
  </si>
  <si>
    <t>5015077231</t>
  </si>
  <si>
    <t>2026 BAJAJ PULSAR NS200 ROJO 26 , ROJO</t>
  </si>
  <si>
    <t>2026 BAJAJ PULSAR NS200 GRIS 26 , GRIS</t>
  </si>
  <si>
    <t>2026 BAJAJ PULSAR NS125 2026 125, GRISL</t>
  </si>
  <si>
    <t>PULSAR F 250 FI Rojo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</si>
</sst>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</borders>
  <cellStyleXfs count="2">
    <xf numFmtId="0" fontId="0" fillId="0" borderId="0"/>
    <xf numFmtId="4" fontId="1" fillId="2" borderId="1" applyNumberFormat="0" applyProtection="0">
      <alignment horizontal="left" vertical="center" indent="1"/>
    </xf>
  </cellStyleXfs>
  <cellXfs count="5">
    <xf numFmtId="0" fontId="0" fillId="0" borderId="0" xfId="0"/>
    <xf numFmtId="1" fontId="0" fillId="0" borderId="0" xfId="0" applyNumberFormat="1" applyAlignment="1">
      <alignment horizontal="left"/>
    </xf>
    <xf numFmtId="0" fontId="0" fillId="3" borderId="0" xfId="0" applyFill="1"/>
    <xf numFmtId="0" fontId="0" fillId="0" borderId="0" xfId="0" applyAlignment="1">
      <alignment horizontal="left"/>
    </xf>
    <xf numFmtId="1" fontId="0" fillId="0" borderId="0" xfId="0" applyNumberFormat="1"/>
  </cellXfs>
  <cellStyles count="2">
    <cellStyle name="Normal" xfId="0" builtinId="0"/>
    <cellStyle name="SAPBEXstdItem" xfId="1" xr:uid="{689FB6DA-AE10-4F44-9605-E3438611AF95}"/>
  </cellStyles>
  <dxfs count="1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rgb="FF92D050"/>
        </patternFill>
      </fill>
    </dxf>
    <dxf>
      <numFmt numFmtId="0" formatCode="General"/>
      <fill>
        <patternFill patternType="solid">
          <fgColor indexed="64"/>
          <bgColor rgb="FF92D050"/>
        </patternFill>
      </fill>
    </dxf>
    <dxf>
      <numFmt numFmtId="0" formatCode="General"/>
      <fill>
        <patternFill patternType="solid">
          <fgColor indexed="64"/>
          <bgColor rgb="FF92D050"/>
        </patternFill>
      </fill>
    </dxf>
    <dxf>
      <numFmt numFmtId="1" formatCode="0"/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4AC948B-8453-4BE4-8904-3055A24ABCB0}" autoFormatId="16" applyNumberFormats="0" applyBorderFormats="0" applyFontFormats="0" applyPatternFormats="0" applyAlignmentFormats="0" applyWidthHeightFormats="0">
  <queryTableRefresh nextId="16">
    <queryTableFields count="15">
      <queryTableField id="1" name="NÚMERO DE ARTÍCULO (SAP)" tableColumnId="1"/>
      <queryTableField id="2" name="DESCRIPCIÓN DEL ARTÍCULO (SAP)" tableColumnId="2"/>
      <queryTableField id="3" name="RESUMIDO" tableColumnId="3"/>
      <queryTableField id="4" name="FAMILIA" tableColumnId="4"/>
      <queryTableField id="5" name="CILINDRADA" tableColumnId="5"/>
      <queryTableField id="6" name="COLOR" tableColumnId="6"/>
      <queryTableField id="7" name="AÑO" tableColumnId="7"/>
      <queryTableField id="8" name="RESUMIDO 2 CUADRANTE" tableColumnId="8"/>
      <queryTableField id="9" name="CLEAN MODEL" tableColumnId="9"/>
      <queryTableField id="10" name="MODEL FAMILY" tableColumnId="10"/>
      <queryTableField id="11" name="MKT NAME" tableColumnId="11"/>
      <queryTableField id="12" name="SO NAME JOEL" tableColumnId="12"/>
      <queryTableField id="13" name="RE/DI/FL" tableColumnId="13"/>
      <queryTableField id="14" name="MKT+C" tableColumnId="14"/>
      <queryTableField id="15" name="CODEX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5BF1A7E-44A8-4A35-81BE-49C2CD03768E}" name="CAT_MOD_v31" displayName="CAT_MOD_v31" ref="A1:O935" tableType="queryTable" totalsRowShown="0">
  <autoFilter ref="A1:O935" xr:uid="{D5BF1A7E-44A8-4A35-81BE-49C2CD03768E}"/>
  <sortState xmlns:xlrd2="http://schemas.microsoft.com/office/spreadsheetml/2017/richdata2" ref="A2:O935">
    <sortCondition ref="C1:C935"/>
  </sortState>
  <tableColumns count="15">
    <tableColumn id="1" xr3:uid="{B0D654AB-4317-4CE7-B5EA-F0FDDFE4CFD8}" uniqueName="1" name="NÚMERO DE ARTÍCULO (SAP)" queryTableFieldId="1" dataDxfId="12"/>
    <tableColumn id="2" xr3:uid="{D2848D8E-22C8-422D-B3F1-3DF3BC75A02A}" uniqueName="2" name="DESCRIPCIÓN DEL ARTÍCULO (SAP)" queryTableFieldId="2" dataDxfId="11"/>
    <tableColumn id="3" xr3:uid="{C31A8B8D-961E-48F4-8AF3-0EC18F5FF1ED}" uniqueName="3" name="RESUMIDO" queryTableFieldId="3" dataDxfId="10"/>
    <tableColumn id="4" xr3:uid="{B4F8F2F5-E59F-4CE5-8E36-D2323AD33E1B}" uniqueName="4" name="FAMILIA" queryTableFieldId="4" dataDxfId="9"/>
    <tableColumn id="5" xr3:uid="{E46C07E9-57F6-465D-842A-AA839CE9B87C}" uniqueName="5" name="CILINDRADA" queryTableFieldId="5"/>
    <tableColumn id="6" xr3:uid="{09E58800-6D50-4232-9A11-5C9532522CA1}" uniqueName="6" name="COLOR" queryTableFieldId="6" dataDxfId="8"/>
    <tableColumn id="7" xr3:uid="{64911E04-3914-4A0C-9047-71AFA5A89ECE}" uniqueName="7" name="AÑO" queryTableFieldId="7"/>
    <tableColumn id="8" xr3:uid="{6500C291-58F9-4A95-B375-FD075DE45E55}" uniqueName="8" name="RESUMIDO 2 CUADRANTE" queryTableFieldId="8" dataDxfId="7"/>
    <tableColumn id="9" xr3:uid="{887743B8-1AA2-44E5-99FB-3DEFECAC44D2}" uniqueName="9" name="CLEAN MODEL" queryTableFieldId="9" dataDxfId="6"/>
    <tableColumn id="10" xr3:uid="{2E5E2279-7F95-40B8-A360-5084E7C0FEED}" uniqueName="10" name="MODEL FAMILY" queryTableFieldId="10" dataDxfId="5"/>
    <tableColumn id="11" xr3:uid="{9E2CC859-E70A-4EAE-882E-F32644604FED}" uniqueName="11" name="MKT NAME" queryTableFieldId="11" dataDxfId="4"/>
    <tableColumn id="12" xr3:uid="{3300E7ED-09A0-4F0C-87E8-FDAB66825DD2}" uniqueName="12" name="SO NAME JOEL" queryTableFieldId="12" dataDxfId="3"/>
    <tableColumn id="13" xr3:uid="{DFD605C5-2C41-4C4A-8A0A-677AC83A18B0}" uniqueName="13" name="RE/DI/FL" queryTableFieldId="13" dataDxfId="2"/>
    <tableColumn id="14" xr3:uid="{BE50EB6E-3929-469A-B625-51213D0D8EFF}" uniqueName="14" name="MKT+C" queryTableFieldId="14" dataDxfId="1"/>
    <tableColumn id="15" xr3:uid="{C05025C2-E479-4C8B-8702-582C920BBE7A}" uniqueName="15" name="CODEX" queryTableFieldId="15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9BA9463-F854-43BF-A772-457E4CF48DC8}" name="Cat_SKU" displayName="Cat_SKU" ref="A1:G963" totalsRowShown="0">
  <autoFilter ref="A1:G963" xr:uid="{59BA9463-F854-43BF-A772-457E4CF48DC8}"/>
  <sortState xmlns:xlrd2="http://schemas.microsoft.com/office/spreadsheetml/2017/richdata2" ref="A2:G920">
    <sortCondition ref="A2:A920"/>
    <sortCondition ref="B2:B920"/>
  </sortState>
  <tableColumns count="7">
    <tableColumn id="1" xr3:uid="{7720F10C-5F29-4749-A96A-47BC540486C4}" name="Cadena"/>
    <tableColumn id="2" xr3:uid="{63A0F070-106B-4C89-92F2-A0EECEC8B625}" name="SKU" dataDxfId="16"/>
    <tableColumn id="3" xr3:uid="{1842FC76-5751-40C8-974D-17CA1436D471}" name="Desc_Cadena"/>
    <tableColumn id="4" xr3:uid="{CDB2EF8A-0FDF-4B61-9C85-B2EED4977AEA}" name="Item"/>
    <tableColumn id="5" xr3:uid="{9AB1BB55-4152-4439-AB1D-8B27E19DBE83}" name="Modelo" dataDxfId="15">
      <calculatedColumnFormula>_xlfn.XLOOKUP(Cat_SKU[[#This Row],[Item]],CAT_MOD_v31[NÚMERO DE ARTÍCULO (SAP)],CAT_MOD_v31[RESUMIDO],"",0)</calculatedColumnFormula>
    </tableColumn>
    <tableColumn id="6" xr3:uid="{3171D7AF-AFA1-4CE2-8B2B-9D4B1634D1D2}" name="Color" dataDxfId="14">
      <calculatedColumnFormula>_xlfn.XLOOKUP(Cat_SKU[[#This Row],[Item]],CAT_MOD_v31[NÚMERO DE ARTÍCULO (SAP)],CAT_MOD_v31[COLOR],"",0)</calculatedColumnFormula>
    </tableColumn>
    <tableColumn id="7" xr3:uid="{4BFAD07F-2516-4A3A-8D5D-16660FA5B8F3}" name="Año Modelo" dataDxfId="13">
      <calculatedColumnFormula>_xlfn.XLOOKUP(Cat_SKU[[#This Row],[Item]],CAT_MOD_v31[NÚMERO DE ARTÍCULO (SAP)],CAT_MOD_v31[AÑO],"",0)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FD07B-2C96-4FBF-A333-A5FBCFAAB455}">
  <dimension ref="A1:O935"/>
  <sheetViews>
    <sheetView topLeftCell="A913" workbookViewId="0">
      <selection activeCell="A935" sqref="A935"/>
    </sheetView>
  </sheetViews>
  <sheetFormatPr baseColWidth="10" defaultRowHeight="14.5" x14ac:dyDescent="0.35"/>
  <cols>
    <col min="1" max="1" width="27.08984375" bestFit="1" customWidth="1"/>
    <col min="2" max="2" width="39" bestFit="1" customWidth="1"/>
    <col min="3" max="3" width="24.26953125" bestFit="1" customWidth="1"/>
    <col min="4" max="4" width="9.7265625" bestFit="1" customWidth="1"/>
    <col min="5" max="5" width="13.54296875" bestFit="1" customWidth="1"/>
    <col min="6" max="6" width="9" bestFit="1" customWidth="1"/>
    <col min="7" max="7" width="6.7265625" bestFit="1" customWidth="1"/>
    <col min="8" max="8" width="24.453125" bestFit="1" customWidth="1"/>
    <col min="9" max="9" width="19.1796875" bestFit="1" customWidth="1"/>
    <col min="10" max="10" width="15.453125" bestFit="1" customWidth="1"/>
    <col min="11" max="11" width="24.26953125" bestFit="1" customWidth="1"/>
    <col min="12" max="12" width="18.90625" bestFit="1" customWidth="1"/>
    <col min="13" max="13" width="10.453125" bestFit="1" customWidth="1"/>
    <col min="14" max="14" width="29.54296875" bestFit="1" customWidth="1"/>
    <col min="15" max="15" width="9.90625" bestFit="1" customWidth="1"/>
  </cols>
  <sheetData>
    <row r="1" spans="1:15" x14ac:dyDescent="0.35">
      <c r="A1" t="s">
        <v>898</v>
      </c>
      <c r="B1" t="s">
        <v>899</v>
      </c>
      <c r="C1" t="s">
        <v>900</v>
      </c>
      <c r="D1" t="s">
        <v>901</v>
      </c>
      <c r="E1" t="s">
        <v>902</v>
      </c>
      <c r="F1" t="s">
        <v>903</v>
      </c>
      <c r="G1" t="s">
        <v>904</v>
      </c>
      <c r="H1" t="s">
        <v>905</v>
      </c>
      <c r="I1" t="s">
        <v>906</v>
      </c>
      <c r="J1" t="s">
        <v>907</v>
      </c>
      <c r="K1" t="s">
        <v>908</v>
      </c>
      <c r="L1" t="s">
        <v>909</v>
      </c>
      <c r="M1" t="s">
        <v>910</v>
      </c>
      <c r="N1" t="s">
        <v>911</v>
      </c>
      <c r="O1" t="s">
        <v>912</v>
      </c>
    </row>
    <row r="2" spans="1:15" x14ac:dyDescent="0.35">
      <c r="A2" t="s">
        <v>2125</v>
      </c>
      <c r="B2" t="s">
        <v>2126</v>
      </c>
      <c r="C2" t="s">
        <v>2127</v>
      </c>
      <c r="D2" t="s">
        <v>2128</v>
      </c>
      <c r="E2">
        <v>220</v>
      </c>
      <c r="F2" t="s">
        <v>917</v>
      </c>
      <c r="G2">
        <v>2019</v>
      </c>
      <c r="H2" t="s">
        <v>2127</v>
      </c>
      <c r="I2" t="s">
        <v>2129</v>
      </c>
      <c r="J2" t="s">
        <v>2128</v>
      </c>
      <c r="K2" t="s">
        <v>2127</v>
      </c>
      <c r="L2" t="s">
        <v>2129</v>
      </c>
      <c r="M2" t="s">
        <v>952</v>
      </c>
      <c r="N2" t="s">
        <v>2130</v>
      </c>
      <c r="O2" t="s">
        <v>922</v>
      </c>
    </row>
    <row r="3" spans="1:15" x14ac:dyDescent="0.35">
      <c r="A3" t="s">
        <v>2131</v>
      </c>
      <c r="B3" t="s">
        <v>2132</v>
      </c>
      <c r="C3" t="s">
        <v>2127</v>
      </c>
      <c r="D3" t="s">
        <v>2128</v>
      </c>
      <c r="E3">
        <v>220</v>
      </c>
      <c r="F3" t="s">
        <v>917</v>
      </c>
      <c r="G3">
        <v>2019</v>
      </c>
      <c r="H3" t="s">
        <v>2127</v>
      </c>
      <c r="I3" t="s">
        <v>2129</v>
      </c>
      <c r="J3" t="s">
        <v>2128</v>
      </c>
      <c r="K3" t="s">
        <v>2127</v>
      </c>
      <c r="L3" t="s">
        <v>2129</v>
      </c>
      <c r="M3" t="s">
        <v>918</v>
      </c>
      <c r="N3" t="s">
        <v>2130</v>
      </c>
      <c r="O3" t="s">
        <v>922</v>
      </c>
    </row>
    <row r="4" spans="1:15" x14ac:dyDescent="0.35">
      <c r="A4" t="s">
        <v>2133</v>
      </c>
      <c r="B4" t="s">
        <v>2134</v>
      </c>
      <c r="C4" t="s">
        <v>2127</v>
      </c>
      <c r="D4" t="s">
        <v>2128</v>
      </c>
      <c r="E4">
        <v>220</v>
      </c>
      <c r="F4" t="s">
        <v>917</v>
      </c>
      <c r="G4">
        <v>2020</v>
      </c>
      <c r="H4" t="s">
        <v>2127</v>
      </c>
      <c r="I4" t="s">
        <v>2129</v>
      </c>
      <c r="J4" t="s">
        <v>2128</v>
      </c>
      <c r="K4" t="s">
        <v>2127</v>
      </c>
      <c r="L4" t="s">
        <v>2129</v>
      </c>
      <c r="M4" t="s">
        <v>952</v>
      </c>
      <c r="N4" t="s">
        <v>2130</v>
      </c>
      <c r="O4" t="s">
        <v>922</v>
      </c>
    </row>
    <row r="5" spans="1:15" x14ac:dyDescent="0.35">
      <c r="A5" t="s">
        <v>2135</v>
      </c>
      <c r="B5" t="s">
        <v>2136</v>
      </c>
      <c r="C5" t="s">
        <v>2127</v>
      </c>
      <c r="D5" t="s">
        <v>2128</v>
      </c>
      <c r="E5">
        <v>220</v>
      </c>
      <c r="F5" t="s">
        <v>917</v>
      </c>
      <c r="G5">
        <v>2020</v>
      </c>
      <c r="H5" t="s">
        <v>2127</v>
      </c>
      <c r="I5" t="s">
        <v>2129</v>
      </c>
      <c r="J5" t="s">
        <v>2128</v>
      </c>
      <c r="K5" t="s">
        <v>2127</v>
      </c>
      <c r="L5" t="s">
        <v>2129</v>
      </c>
      <c r="M5" t="s">
        <v>918</v>
      </c>
      <c r="N5" t="s">
        <v>2130</v>
      </c>
      <c r="O5" t="s">
        <v>922</v>
      </c>
    </row>
    <row r="6" spans="1:15" x14ac:dyDescent="0.35">
      <c r="A6" t="s">
        <v>2137</v>
      </c>
      <c r="B6" t="s">
        <v>2138</v>
      </c>
      <c r="C6" t="s">
        <v>2127</v>
      </c>
      <c r="D6" t="s">
        <v>2128</v>
      </c>
      <c r="E6">
        <v>220</v>
      </c>
      <c r="F6" t="s">
        <v>958</v>
      </c>
      <c r="G6">
        <v>2019</v>
      </c>
      <c r="H6" t="s">
        <v>2127</v>
      </c>
      <c r="I6" t="s">
        <v>2129</v>
      </c>
      <c r="J6" t="s">
        <v>2128</v>
      </c>
      <c r="K6" t="s">
        <v>2127</v>
      </c>
      <c r="L6" t="s">
        <v>2129</v>
      </c>
      <c r="M6" t="s">
        <v>952</v>
      </c>
      <c r="N6" t="s">
        <v>2139</v>
      </c>
      <c r="O6" t="s">
        <v>922</v>
      </c>
    </row>
    <row r="7" spans="1:15" x14ac:dyDescent="0.35">
      <c r="A7" t="s">
        <v>2140</v>
      </c>
      <c r="B7" t="s">
        <v>2141</v>
      </c>
      <c r="C7" t="s">
        <v>2127</v>
      </c>
      <c r="D7" t="s">
        <v>2128</v>
      </c>
      <c r="E7">
        <v>220</v>
      </c>
      <c r="F7" t="s">
        <v>958</v>
      </c>
      <c r="G7">
        <v>2019</v>
      </c>
      <c r="H7" t="s">
        <v>2127</v>
      </c>
      <c r="I7" t="s">
        <v>2129</v>
      </c>
      <c r="J7" t="s">
        <v>2128</v>
      </c>
      <c r="K7" t="s">
        <v>2127</v>
      </c>
      <c r="L7" t="s">
        <v>2129</v>
      </c>
      <c r="M7" t="s">
        <v>918</v>
      </c>
      <c r="N7" t="s">
        <v>2139</v>
      </c>
      <c r="O7" t="s">
        <v>922</v>
      </c>
    </row>
    <row r="8" spans="1:15" x14ac:dyDescent="0.35">
      <c r="A8" t="s">
        <v>2142</v>
      </c>
      <c r="B8" t="s">
        <v>2143</v>
      </c>
      <c r="C8" t="s">
        <v>2127</v>
      </c>
      <c r="D8" t="s">
        <v>2128</v>
      </c>
      <c r="E8">
        <v>220</v>
      </c>
      <c r="F8" t="s">
        <v>958</v>
      </c>
      <c r="G8">
        <v>2020</v>
      </c>
      <c r="H8" t="s">
        <v>2127</v>
      </c>
      <c r="I8" t="s">
        <v>2129</v>
      </c>
      <c r="J8" t="s">
        <v>2128</v>
      </c>
      <c r="K8" t="s">
        <v>2127</v>
      </c>
      <c r="L8" t="s">
        <v>2129</v>
      </c>
      <c r="M8" t="s">
        <v>952</v>
      </c>
      <c r="N8" t="s">
        <v>2139</v>
      </c>
      <c r="O8" t="s">
        <v>922</v>
      </c>
    </row>
    <row r="9" spans="1:15" x14ac:dyDescent="0.35">
      <c r="A9" t="s">
        <v>874</v>
      </c>
      <c r="B9" t="s">
        <v>2144</v>
      </c>
      <c r="C9" t="s">
        <v>2127</v>
      </c>
      <c r="D9" t="s">
        <v>2128</v>
      </c>
      <c r="E9">
        <v>220</v>
      </c>
      <c r="F9" t="s">
        <v>958</v>
      </c>
      <c r="G9">
        <v>2020</v>
      </c>
      <c r="H9" t="s">
        <v>2127</v>
      </c>
      <c r="I9" t="s">
        <v>2129</v>
      </c>
      <c r="J9" t="s">
        <v>2128</v>
      </c>
      <c r="K9" t="s">
        <v>2127</v>
      </c>
      <c r="L9" t="s">
        <v>2129</v>
      </c>
      <c r="M9" t="s">
        <v>918</v>
      </c>
      <c r="N9" t="s">
        <v>2139</v>
      </c>
      <c r="O9" t="s">
        <v>922</v>
      </c>
    </row>
    <row r="10" spans="1:15" x14ac:dyDescent="0.35">
      <c r="A10" t="s">
        <v>2145</v>
      </c>
      <c r="B10" t="s">
        <v>2146</v>
      </c>
      <c r="C10" t="s">
        <v>2127</v>
      </c>
      <c r="D10" t="s">
        <v>2128</v>
      </c>
      <c r="E10">
        <v>220</v>
      </c>
      <c r="F10" t="s">
        <v>958</v>
      </c>
      <c r="G10">
        <v>2021</v>
      </c>
      <c r="H10" t="s">
        <v>2127</v>
      </c>
      <c r="I10" t="s">
        <v>2129</v>
      </c>
      <c r="J10" t="s">
        <v>2128</v>
      </c>
      <c r="K10" t="s">
        <v>2127</v>
      </c>
      <c r="L10" t="s">
        <v>2129</v>
      </c>
      <c r="M10" t="s">
        <v>952</v>
      </c>
      <c r="N10" t="s">
        <v>2139</v>
      </c>
      <c r="O10" t="s">
        <v>922</v>
      </c>
    </row>
    <row r="11" spans="1:15" x14ac:dyDescent="0.35">
      <c r="A11" t="s">
        <v>418</v>
      </c>
      <c r="B11" t="s">
        <v>97</v>
      </c>
      <c r="C11" t="s">
        <v>2127</v>
      </c>
      <c r="D11" t="s">
        <v>2128</v>
      </c>
      <c r="E11">
        <v>220</v>
      </c>
      <c r="F11" t="s">
        <v>958</v>
      </c>
      <c r="G11">
        <v>2021</v>
      </c>
      <c r="H11" t="s">
        <v>2127</v>
      </c>
      <c r="I11" t="s">
        <v>2129</v>
      </c>
      <c r="J11" t="s">
        <v>2128</v>
      </c>
      <c r="K11" t="s">
        <v>2127</v>
      </c>
      <c r="L11" t="s">
        <v>2129</v>
      </c>
      <c r="M11" t="s">
        <v>918</v>
      </c>
      <c r="N11" t="s">
        <v>2139</v>
      </c>
      <c r="O11" t="s">
        <v>922</v>
      </c>
    </row>
    <row r="12" spans="1:15" x14ac:dyDescent="0.35">
      <c r="A12" t="s">
        <v>2147</v>
      </c>
      <c r="B12" t="s">
        <v>2148</v>
      </c>
      <c r="C12" t="s">
        <v>2127</v>
      </c>
      <c r="D12" t="s">
        <v>2128</v>
      </c>
      <c r="E12">
        <v>220</v>
      </c>
      <c r="F12" t="s">
        <v>958</v>
      </c>
      <c r="G12">
        <v>2022</v>
      </c>
      <c r="H12" t="s">
        <v>2127</v>
      </c>
      <c r="I12" t="s">
        <v>2129</v>
      </c>
      <c r="J12" t="s">
        <v>2128</v>
      </c>
      <c r="K12" t="s">
        <v>2127</v>
      </c>
      <c r="L12" t="s">
        <v>2129</v>
      </c>
      <c r="M12" t="s">
        <v>952</v>
      </c>
      <c r="N12" t="s">
        <v>2139</v>
      </c>
      <c r="O12" t="s">
        <v>922</v>
      </c>
    </row>
    <row r="13" spans="1:15" x14ac:dyDescent="0.35">
      <c r="A13" t="s">
        <v>319</v>
      </c>
      <c r="B13" t="s">
        <v>98</v>
      </c>
      <c r="C13" t="s">
        <v>2127</v>
      </c>
      <c r="D13" t="s">
        <v>2128</v>
      </c>
      <c r="E13">
        <v>220</v>
      </c>
      <c r="F13" t="s">
        <v>958</v>
      </c>
      <c r="G13">
        <v>2022</v>
      </c>
      <c r="H13" t="s">
        <v>2127</v>
      </c>
      <c r="I13" t="s">
        <v>2129</v>
      </c>
      <c r="J13" t="s">
        <v>2128</v>
      </c>
      <c r="K13" t="s">
        <v>2127</v>
      </c>
      <c r="L13" t="s">
        <v>2129</v>
      </c>
      <c r="M13" t="s">
        <v>918</v>
      </c>
      <c r="N13" t="s">
        <v>2139</v>
      </c>
      <c r="O13" t="s">
        <v>922</v>
      </c>
    </row>
    <row r="14" spans="1:15" x14ac:dyDescent="0.35">
      <c r="A14" t="s">
        <v>2149</v>
      </c>
      <c r="B14" t="s">
        <v>2150</v>
      </c>
      <c r="C14" t="s">
        <v>2127</v>
      </c>
      <c r="D14" t="s">
        <v>2128</v>
      </c>
      <c r="E14">
        <v>220</v>
      </c>
      <c r="F14" t="s">
        <v>958</v>
      </c>
      <c r="G14">
        <v>2023</v>
      </c>
      <c r="H14" t="s">
        <v>2127</v>
      </c>
      <c r="I14" t="s">
        <v>2129</v>
      </c>
      <c r="J14" t="s">
        <v>2128</v>
      </c>
      <c r="K14" t="s">
        <v>2127</v>
      </c>
      <c r="L14" t="s">
        <v>2129</v>
      </c>
      <c r="M14" t="s">
        <v>952</v>
      </c>
      <c r="N14" t="s">
        <v>2139</v>
      </c>
      <c r="O14" t="s">
        <v>922</v>
      </c>
    </row>
    <row r="15" spans="1:15" x14ac:dyDescent="0.35">
      <c r="A15" t="s">
        <v>2151</v>
      </c>
      <c r="B15" t="s">
        <v>2152</v>
      </c>
      <c r="C15" t="s">
        <v>2127</v>
      </c>
      <c r="D15" t="s">
        <v>2128</v>
      </c>
      <c r="E15">
        <v>220</v>
      </c>
      <c r="F15" t="s">
        <v>958</v>
      </c>
      <c r="G15">
        <v>2023</v>
      </c>
      <c r="H15" t="s">
        <v>2127</v>
      </c>
      <c r="I15" t="s">
        <v>2129</v>
      </c>
      <c r="J15" t="s">
        <v>2128</v>
      </c>
      <c r="K15" t="s">
        <v>2127</v>
      </c>
      <c r="L15" t="s">
        <v>2129</v>
      </c>
      <c r="M15" t="s">
        <v>969</v>
      </c>
      <c r="N15" t="s">
        <v>2139</v>
      </c>
      <c r="O15" t="s">
        <v>922</v>
      </c>
    </row>
    <row r="16" spans="1:15" x14ac:dyDescent="0.35">
      <c r="A16" t="s">
        <v>368</v>
      </c>
      <c r="B16" t="s">
        <v>99</v>
      </c>
      <c r="C16" t="s">
        <v>2127</v>
      </c>
      <c r="D16" t="s">
        <v>2128</v>
      </c>
      <c r="E16">
        <v>220</v>
      </c>
      <c r="F16" t="s">
        <v>958</v>
      </c>
      <c r="G16">
        <v>2023</v>
      </c>
      <c r="H16" t="s">
        <v>2127</v>
      </c>
      <c r="I16" t="s">
        <v>2129</v>
      </c>
      <c r="J16" t="s">
        <v>2128</v>
      </c>
      <c r="K16" t="s">
        <v>2127</v>
      </c>
      <c r="L16" t="s">
        <v>2129</v>
      </c>
      <c r="M16" t="s">
        <v>918</v>
      </c>
      <c r="N16" t="s">
        <v>2139</v>
      </c>
      <c r="O16" t="s">
        <v>922</v>
      </c>
    </row>
    <row r="17" spans="1:15" x14ac:dyDescent="0.35">
      <c r="A17" t="s">
        <v>2153</v>
      </c>
      <c r="B17" t="s">
        <v>2154</v>
      </c>
      <c r="C17" t="s">
        <v>2127</v>
      </c>
      <c r="D17" t="s">
        <v>2128</v>
      </c>
      <c r="E17">
        <v>220</v>
      </c>
      <c r="F17" t="s">
        <v>958</v>
      </c>
      <c r="G17">
        <v>2024</v>
      </c>
      <c r="H17" t="s">
        <v>2127</v>
      </c>
      <c r="I17" t="s">
        <v>2129</v>
      </c>
      <c r="J17" t="s">
        <v>2128</v>
      </c>
      <c r="K17" t="s">
        <v>2127</v>
      </c>
      <c r="L17" t="s">
        <v>2129</v>
      </c>
      <c r="M17" t="s">
        <v>952</v>
      </c>
      <c r="N17" t="s">
        <v>2139</v>
      </c>
      <c r="O17" t="s">
        <v>922</v>
      </c>
    </row>
    <row r="18" spans="1:15" x14ac:dyDescent="0.35">
      <c r="A18" t="s">
        <v>2155</v>
      </c>
      <c r="B18" t="s">
        <v>2156</v>
      </c>
      <c r="C18" t="s">
        <v>2127</v>
      </c>
      <c r="D18" t="s">
        <v>2128</v>
      </c>
      <c r="E18">
        <v>220</v>
      </c>
      <c r="F18" t="s">
        <v>958</v>
      </c>
      <c r="G18">
        <v>2024</v>
      </c>
      <c r="H18" t="s">
        <v>2127</v>
      </c>
      <c r="I18" t="s">
        <v>2129</v>
      </c>
      <c r="J18" t="s">
        <v>2128</v>
      </c>
      <c r="K18" t="s">
        <v>2127</v>
      </c>
      <c r="L18" t="s">
        <v>2129</v>
      </c>
      <c r="M18" t="s">
        <v>969</v>
      </c>
      <c r="N18" t="s">
        <v>2139</v>
      </c>
      <c r="O18" t="s">
        <v>922</v>
      </c>
    </row>
    <row r="19" spans="1:15" x14ac:dyDescent="0.35">
      <c r="A19" t="s">
        <v>303</v>
      </c>
      <c r="B19" t="s">
        <v>100</v>
      </c>
      <c r="C19" t="s">
        <v>2127</v>
      </c>
      <c r="D19" t="s">
        <v>2128</v>
      </c>
      <c r="E19">
        <v>220</v>
      </c>
      <c r="F19" t="s">
        <v>958</v>
      </c>
      <c r="G19">
        <v>2024</v>
      </c>
      <c r="H19" t="s">
        <v>2127</v>
      </c>
      <c r="I19" t="s">
        <v>2129</v>
      </c>
      <c r="J19" t="s">
        <v>2128</v>
      </c>
      <c r="K19" t="s">
        <v>2127</v>
      </c>
      <c r="L19" t="s">
        <v>2129</v>
      </c>
      <c r="M19" t="s">
        <v>918</v>
      </c>
      <c r="N19" t="s">
        <v>2139</v>
      </c>
      <c r="O19" t="s">
        <v>922</v>
      </c>
    </row>
    <row r="20" spans="1:15" x14ac:dyDescent="0.35">
      <c r="A20" t="s">
        <v>650</v>
      </c>
      <c r="B20" t="s">
        <v>2157</v>
      </c>
      <c r="C20" t="s">
        <v>2127</v>
      </c>
      <c r="D20" t="s">
        <v>2128</v>
      </c>
      <c r="E20">
        <v>220</v>
      </c>
      <c r="F20" t="s">
        <v>958</v>
      </c>
      <c r="G20">
        <v>2025</v>
      </c>
      <c r="H20" t="s">
        <v>2127</v>
      </c>
      <c r="I20" t="s">
        <v>2129</v>
      </c>
      <c r="J20" t="s">
        <v>2128</v>
      </c>
      <c r="K20" t="s">
        <v>2127</v>
      </c>
      <c r="L20" t="s">
        <v>2129</v>
      </c>
      <c r="M20" t="s">
        <v>952</v>
      </c>
      <c r="N20" t="s">
        <v>2139</v>
      </c>
      <c r="O20" t="s">
        <v>2158</v>
      </c>
    </row>
    <row r="21" spans="1:15" x14ac:dyDescent="0.35">
      <c r="A21" t="s">
        <v>2159</v>
      </c>
      <c r="B21" t="s">
        <v>2160</v>
      </c>
      <c r="C21" t="s">
        <v>2127</v>
      </c>
      <c r="D21" t="s">
        <v>2128</v>
      </c>
      <c r="E21">
        <v>220</v>
      </c>
      <c r="F21" t="s">
        <v>958</v>
      </c>
      <c r="G21">
        <v>2025</v>
      </c>
      <c r="H21" t="s">
        <v>2127</v>
      </c>
      <c r="I21" t="s">
        <v>2129</v>
      </c>
      <c r="J21" t="s">
        <v>2128</v>
      </c>
      <c r="K21" t="s">
        <v>2127</v>
      </c>
      <c r="L21" t="s">
        <v>2129</v>
      </c>
      <c r="M21" t="s">
        <v>969</v>
      </c>
      <c r="N21" t="s">
        <v>2139</v>
      </c>
      <c r="O21" t="s">
        <v>2158</v>
      </c>
    </row>
    <row r="22" spans="1:15" x14ac:dyDescent="0.35">
      <c r="A22" t="s">
        <v>255</v>
      </c>
      <c r="B22" t="s">
        <v>144</v>
      </c>
      <c r="C22" t="s">
        <v>2127</v>
      </c>
      <c r="D22" t="s">
        <v>2128</v>
      </c>
      <c r="E22">
        <v>220</v>
      </c>
      <c r="F22" t="s">
        <v>958</v>
      </c>
      <c r="G22">
        <v>2025</v>
      </c>
      <c r="H22" t="s">
        <v>2127</v>
      </c>
      <c r="I22" t="s">
        <v>2129</v>
      </c>
      <c r="J22" t="s">
        <v>2128</v>
      </c>
      <c r="K22" t="s">
        <v>2127</v>
      </c>
      <c r="L22" t="s">
        <v>2129</v>
      </c>
      <c r="M22" t="s">
        <v>918</v>
      </c>
      <c r="N22" t="s">
        <v>2139</v>
      </c>
      <c r="O22" t="s">
        <v>2158</v>
      </c>
    </row>
    <row r="23" spans="1:15" x14ac:dyDescent="0.35">
      <c r="A23" t="s">
        <v>2161</v>
      </c>
      <c r="B23" t="s">
        <v>2162</v>
      </c>
      <c r="C23" t="s">
        <v>2127</v>
      </c>
      <c r="D23" t="s">
        <v>2128</v>
      </c>
      <c r="E23">
        <v>220</v>
      </c>
      <c r="F23" t="s">
        <v>917</v>
      </c>
      <c r="G23">
        <v>2019</v>
      </c>
      <c r="H23" t="s">
        <v>2127</v>
      </c>
      <c r="I23" t="s">
        <v>2129</v>
      </c>
      <c r="J23" t="s">
        <v>2128</v>
      </c>
      <c r="K23" t="s">
        <v>2127</v>
      </c>
      <c r="L23" t="s">
        <v>2129</v>
      </c>
      <c r="M23" t="s">
        <v>952</v>
      </c>
      <c r="N23" t="s">
        <v>2130</v>
      </c>
      <c r="O23" t="s">
        <v>922</v>
      </c>
    </row>
    <row r="24" spans="1:15" x14ac:dyDescent="0.35">
      <c r="A24" t="s">
        <v>2163</v>
      </c>
      <c r="B24" t="s">
        <v>2164</v>
      </c>
      <c r="C24" t="s">
        <v>2127</v>
      </c>
      <c r="D24" t="s">
        <v>2128</v>
      </c>
      <c r="E24">
        <v>220</v>
      </c>
      <c r="F24" t="s">
        <v>917</v>
      </c>
      <c r="G24">
        <v>2020</v>
      </c>
      <c r="H24" t="s">
        <v>2127</v>
      </c>
      <c r="I24" t="s">
        <v>2129</v>
      </c>
      <c r="J24" t="s">
        <v>2128</v>
      </c>
      <c r="K24" t="s">
        <v>2127</v>
      </c>
      <c r="L24" t="s">
        <v>2129</v>
      </c>
      <c r="M24" t="s">
        <v>952</v>
      </c>
      <c r="N24" t="s">
        <v>2130</v>
      </c>
      <c r="O24" t="s">
        <v>922</v>
      </c>
    </row>
    <row r="25" spans="1:15" x14ac:dyDescent="0.35">
      <c r="A25" t="s">
        <v>2165</v>
      </c>
      <c r="B25" t="s">
        <v>2166</v>
      </c>
      <c r="C25" t="s">
        <v>2127</v>
      </c>
      <c r="D25" t="s">
        <v>2128</v>
      </c>
      <c r="E25">
        <v>220</v>
      </c>
      <c r="F25" t="s">
        <v>958</v>
      </c>
      <c r="G25">
        <v>2019</v>
      </c>
      <c r="H25" t="s">
        <v>2127</v>
      </c>
      <c r="I25" t="s">
        <v>2129</v>
      </c>
      <c r="J25" t="s">
        <v>2128</v>
      </c>
      <c r="K25" t="s">
        <v>2127</v>
      </c>
      <c r="L25" t="s">
        <v>2129</v>
      </c>
      <c r="M25" t="s">
        <v>952</v>
      </c>
      <c r="N25" t="s">
        <v>2139</v>
      </c>
      <c r="O25" t="s">
        <v>922</v>
      </c>
    </row>
    <row r="26" spans="1:15" x14ac:dyDescent="0.35">
      <c r="A26" t="s">
        <v>2167</v>
      </c>
      <c r="B26" t="s">
        <v>2168</v>
      </c>
      <c r="C26" t="s">
        <v>2127</v>
      </c>
      <c r="D26" t="s">
        <v>2128</v>
      </c>
      <c r="E26">
        <v>220</v>
      </c>
      <c r="F26" t="s">
        <v>958</v>
      </c>
      <c r="G26">
        <v>2019</v>
      </c>
      <c r="H26" t="s">
        <v>2127</v>
      </c>
      <c r="I26" t="s">
        <v>2129</v>
      </c>
      <c r="J26" t="s">
        <v>2128</v>
      </c>
      <c r="K26" t="s">
        <v>2127</v>
      </c>
      <c r="L26" t="s">
        <v>2129</v>
      </c>
      <c r="M26" t="s">
        <v>918</v>
      </c>
      <c r="N26" t="s">
        <v>2139</v>
      </c>
      <c r="O26" t="s">
        <v>922</v>
      </c>
    </row>
    <row r="27" spans="1:15" x14ac:dyDescent="0.35">
      <c r="A27" t="s">
        <v>2169</v>
      </c>
      <c r="B27" t="s">
        <v>2170</v>
      </c>
      <c r="C27" t="s">
        <v>2127</v>
      </c>
      <c r="D27" t="s">
        <v>2128</v>
      </c>
      <c r="E27">
        <v>220</v>
      </c>
      <c r="F27" t="s">
        <v>958</v>
      </c>
      <c r="G27">
        <v>2020</v>
      </c>
      <c r="H27" t="s">
        <v>2127</v>
      </c>
      <c r="I27" t="s">
        <v>2129</v>
      </c>
      <c r="J27" t="s">
        <v>2128</v>
      </c>
      <c r="K27" t="s">
        <v>2127</v>
      </c>
      <c r="L27" t="s">
        <v>2129</v>
      </c>
      <c r="M27" t="s">
        <v>952</v>
      </c>
      <c r="N27" t="s">
        <v>2139</v>
      </c>
      <c r="O27" t="s">
        <v>922</v>
      </c>
    </row>
    <row r="28" spans="1:15" x14ac:dyDescent="0.35">
      <c r="A28" t="s">
        <v>2171</v>
      </c>
      <c r="B28" t="s">
        <v>2172</v>
      </c>
      <c r="C28" t="s">
        <v>2127</v>
      </c>
      <c r="D28" t="s">
        <v>2128</v>
      </c>
      <c r="E28">
        <v>220</v>
      </c>
      <c r="F28" t="s">
        <v>958</v>
      </c>
      <c r="G28">
        <v>2024</v>
      </c>
      <c r="H28" t="s">
        <v>2127</v>
      </c>
      <c r="I28" t="s">
        <v>2129</v>
      </c>
      <c r="J28" t="s">
        <v>2128</v>
      </c>
      <c r="K28" t="s">
        <v>2127</v>
      </c>
      <c r="L28" t="s">
        <v>2129</v>
      </c>
      <c r="M28" t="s">
        <v>920</v>
      </c>
      <c r="N28" t="s">
        <v>2139</v>
      </c>
      <c r="O28" t="s">
        <v>922</v>
      </c>
    </row>
    <row r="29" spans="1:15" x14ac:dyDescent="0.35">
      <c r="A29" t="s">
        <v>2173</v>
      </c>
      <c r="B29" t="s">
        <v>2174</v>
      </c>
      <c r="C29" t="s">
        <v>2127</v>
      </c>
      <c r="D29" t="s">
        <v>2128</v>
      </c>
      <c r="E29">
        <v>220</v>
      </c>
      <c r="F29" t="s">
        <v>958</v>
      </c>
      <c r="G29">
        <v>2025</v>
      </c>
      <c r="H29" t="s">
        <v>2127</v>
      </c>
      <c r="I29" t="s">
        <v>2129</v>
      </c>
      <c r="J29" t="s">
        <v>2128</v>
      </c>
      <c r="K29" t="s">
        <v>2127</v>
      </c>
      <c r="L29" t="s">
        <v>2129</v>
      </c>
      <c r="M29" t="s">
        <v>920</v>
      </c>
      <c r="N29" t="s">
        <v>2139</v>
      </c>
      <c r="O29" t="s">
        <v>2158</v>
      </c>
    </row>
    <row r="30" spans="1:15" x14ac:dyDescent="0.35">
      <c r="A30" t="s">
        <v>2175</v>
      </c>
      <c r="B30" t="s">
        <v>2176</v>
      </c>
      <c r="C30" t="s">
        <v>2127</v>
      </c>
      <c r="D30" t="s">
        <v>2128</v>
      </c>
      <c r="E30">
        <v>220</v>
      </c>
      <c r="F30" t="s">
        <v>917</v>
      </c>
      <c r="G30">
        <v>2019</v>
      </c>
      <c r="H30" t="s">
        <v>2127</v>
      </c>
      <c r="I30" t="s">
        <v>2129</v>
      </c>
      <c r="J30" t="s">
        <v>2128</v>
      </c>
      <c r="K30" t="s">
        <v>2127</v>
      </c>
      <c r="L30" t="s">
        <v>2129</v>
      </c>
      <c r="M30" t="s">
        <v>918</v>
      </c>
      <c r="N30" t="s">
        <v>2130</v>
      </c>
      <c r="O30" t="s">
        <v>922</v>
      </c>
    </row>
    <row r="31" spans="1:15" x14ac:dyDescent="0.35">
      <c r="A31" t="s">
        <v>821</v>
      </c>
      <c r="B31" t="s">
        <v>2177</v>
      </c>
      <c r="C31" t="s">
        <v>2127</v>
      </c>
      <c r="D31" t="s">
        <v>2128</v>
      </c>
      <c r="E31">
        <v>220</v>
      </c>
      <c r="F31" t="s">
        <v>917</v>
      </c>
      <c r="G31">
        <v>2021</v>
      </c>
      <c r="H31" t="s">
        <v>2127</v>
      </c>
      <c r="I31" t="s">
        <v>2129</v>
      </c>
      <c r="J31" t="s">
        <v>2128</v>
      </c>
      <c r="K31" t="s">
        <v>2127</v>
      </c>
      <c r="L31" t="s">
        <v>2129</v>
      </c>
      <c r="M31" t="s">
        <v>918</v>
      </c>
      <c r="N31" t="s">
        <v>2130</v>
      </c>
      <c r="O31" t="s">
        <v>922</v>
      </c>
    </row>
    <row r="32" spans="1:15" x14ac:dyDescent="0.35">
      <c r="A32" t="s">
        <v>2178</v>
      </c>
      <c r="B32" t="s">
        <v>2179</v>
      </c>
      <c r="C32" t="s">
        <v>2127</v>
      </c>
      <c r="D32" t="s">
        <v>2128</v>
      </c>
      <c r="E32">
        <v>220</v>
      </c>
      <c r="F32" t="s">
        <v>917</v>
      </c>
      <c r="G32">
        <v>2022</v>
      </c>
      <c r="H32" t="s">
        <v>2127</v>
      </c>
      <c r="I32" t="s">
        <v>2129</v>
      </c>
      <c r="J32" t="s">
        <v>2128</v>
      </c>
      <c r="K32" t="s">
        <v>2127</v>
      </c>
      <c r="L32" t="s">
        <v>2129</v>
      </c>
      <c r="M32" t="s">
        <v>952</v>
      </c>
      <c r="N32" t="s">
        <v>2130</v>
      </c>
      <c r="O32" t="s">
        <v>922</v>
      </c>
    </row>
    <row r="33" spans="1:15" x14ac:dyDescent="0.35">
      <c r="A33" t="s">
        <v>2192</v>
      </c>
      <c r="B33" t="s">
        <v>2193</v>
      </c>
      <c r="C33" t="s">
        <v>2127</v>
      </c>
      <c r="D33" t="s">
        <v>2128</v>
      </c>
      <c r="E33">
        <v>220</v>
      </c>
      <c r="F33" t="s">
        <v>958</v>
      </c>
      <c r="G33">
        <v>2026</v>
      </c>
      <c r="H33" t="s">
        <v>2127</v>
      </c>
      <c r="I33" t="s">
        <v>2129</v>
      </c>
      <c r="J33" t="s">
        <v>2128</v>
      </c>
      <c r="K33" t="s">
        <v>2127</v>
      </c>
      <c r="L33" t="s">
        <v>2129</v>
      </c>
      <c r="M33" t="s">
        <v>920</v>
      </c>
      <c r="N33" t="s">
        <v>2139</v>
      </c>
      <c r="O33" t="s">
        <v>2158</v>
      </c>
    </row>
    <row r="34" spans="1:15" x14ac:dyDescent="0.35">
      <c r="A34" t="s">
        <v>2317</v>
      </c>
      <c r="B34" t="s">
        <v>2318</v>
      </c>
      <c r="C34" t="s">
        <v>2127</v>
      </c>
      <c r="D34" t="s">
        <v>2128</v>
      </c>
      <c r="E34">
        <v>220</v>
      </c>
      <c r="F34" t="s">
        <v>958</v>
      </c>
      <c r="G34">
        <v>2026</v>
      </c>
      <c r="H34" t="s">
        <v>2127</v>
      </c>
      <c r="I34" t="s">
        <v>2129</v>
      </c>
      <c r="J34" t="s">
        <v>2128</v>
      </c>
      <c r="K34" t="s">
        <v>2127</v>
      </c>
      <c r="L34" t="s">
        <v>2129</v>
      </c>
      <c r="M34" t="s">
        <v>952</v>
      </c>
      <c r="N34" t="s">
        <v>2139</v>
      </c>
      <c r="O34" t="s">
        <v>2158</v>
      </c>
    </row>
    <row r="35" spans="1:15" x14ac:dyDescent="0.35">
      <c r="A35" t="s">
        <v>419</v>
      </c>
      <c r="B35" t="s">
        <v>2318</v>
      </c>
      <c r="C35" t="s">
        <v>2127</v>
      </c>
      <c r="D35" t="s">
        <v>2128</v>
      </c>
      <c r="E35">
        <v>220</v>
      </c>
      <c r="F35" t="s">
        <v>958</v>
      </c>
      <c r="G35">
        <v>2026</v>
      </c>
      <c r="H35" t="s">
        <v>2127</v>
      </c>
      <c r="I35" t="s">
        <v>2129</v>
      </c>
      <c r="J35" t="s">
        <v>2128</v>
      </c>
      <c r="K35" t="s">
        <v>2127</v>
      </c>
      <c r="L35" t="s">
        <v>2129</v>
      </c>
      <c r="M35" t="s">
        <v>918</v>
      </c>
      <c r="N35" t="s">
        <v>2139</v>
      </c>
      <c r="O35" t="s">
        <v>2158</v>
      </c>
    </row>
    <row r="36" spans="1:15" x14ac:dyDescent="0.35">
      <c r="A36" t="s">
        <v>2425</v>
      </c>
      <c r="B36" t="s">
        <v>2318</v>
      </c>
      <c r="C36" t="s">
        <v>2127</v>
      </c>
      <c r="D36" t="s">
        <v>2128</v>
      </c>
      <c r="E36">
        <v>220</v>
      </c>
      <c r="F36" t="s">
        <v>958</v>
      </c>
      <c r="G36">
        <v>2026</v>
      </c>
      <c r="H36" t="s">
        <v>2127</v>
      </c>
      <c r="I36" t="s">
        <v>2129</v>
      </c>
      <c r="J36" t="s">
        <v>2128</v>
      </c>
      <c r="K36" t="s">
        <v>2127</v>
      </c>
      <c r="L36" t="s">
        <v>2129</v>
      </c>
      <c r="M36" t="s">
        <v>969</v>
      </c>
      <c r="N36" t="s">
        <v>2139</v>
      </c>
      <c r="O36" t="s">
        <v>2158</v>
      </c>
    </row>
    <row r="37" spans="1:15" x14ac:dyDescent="0.35">
      <c r="A37" t="s">
        <v>2064</v>
      </c>
      <c r="B37" t="s">
        <v>2065</v>
      </c>
      <c r="C37" t="s">
        <v>2066</v>
      </c>
      <c r="D37" t="s">
        <v>2067</v>
      </c>
      <c r="E37">
        <v>150</v>
      </c>
      <c r="F37" t="s">
        <v>1006</v>
      </c>
      <c r="G37">
        <v>2021</v>
      </c>
      <c r="H37" t="s">
        <v>2066</v>
      </c>
      <c r="I37" t="s">
        <v>2068</v>
      </c>
      <c r="J37" t="s">
        <v>2067</v>
      </c>
      <c r="K37" t="s">
        <v>2066</v>
      </c>
      <c r="L37" t="s">
        <v>2066</v>
      </c>
      <c r="M37" t="s">
        <v>952</v>
      </c>
      <c r="N37" t="s">
        <v>2069</v>
      </c>
      <c r="O37" t="s">
        <v>922</v>
      </c>
    </row>
    <row r="38" spans="1:15" x14ac:dyDescent="0.35">
      <c r="A38" t="s">
        <v>2070</v>
      </c>
      <c r="B38" t="s">
        <v>2071</v>
      </c>
      <c r="C38" t="s">
        <v>2066</v>
      </c>
      <c r="D38" t="s">
        <v>2067</v>
      </c>
      <c r="E38">
        <v>150</v>
      </c>
      <c r="F38" t="s">
        <v>951</v>
      </c>
      <c r="G38">
        <v>2021</v>
      </c>
      <c r="H38" t="s">
        <v>2066</v>
      </c>
      <c r="I38" t="s">
        <v>2068</v>
      </c>
      <c r="J38" t="s">
        <v>2067</v>
      </c>
      <c r="K38" t="s">
        <v>2066</v>
      </c>
      <c r="L38" t="s">
        <v>2066</v>
      </c>
      <c r="M38" t="s">
        <v>952</v>
      </c>
      <c r="N38" t="s">
        <v>2072</v>
      </c>
      <c r="O38" t="s">
        <v>922</v>
      </c>
    </row>
    <row r="39" spans="1:15" x14ac:dyDescent="0.35">
      <c r="A39" t="s">
        <v>2073</v>
      </c>
      <c r="B39" t="s">
        <v>2074</v>
      </c>
      <c r="C39" t="s">
        <v>2066</v>
      </c>
      <c r="D39" t="s">
        <v>2067</v>
      </c>
      <c r="E39">
        <v>150</v>
      </c>
      <c r="F39" t="s">
        <v>917</v>
      </c>
      <c r="G39">
        <v>2020</v>
      </c>
      <c r="H39" t="s">
        <v>2066</v>
      </c>
      <c r="I39" t="s">
        <v>2068</v>
      </c>
      <c r="J39" t="s">
        <v>2067</v>
      </c>
      <c r="K39" t="s">
        <v>2066</v>
      </c>
      <c r="L39" t="s">
        <v>2066</v>
      </c>
      <c r="M39" t="s">
        <v>952</v>
      </c>
      <c r="N39" t="s">
        <v>2075</v>
      </c>
      <c r="O39" t="s">
        <v>922</v>
      </c>
    </row>
    <row r="40" spans="1:15" x14ac:dyDescent="0.35">
      <c r="A40" t="s">
        <v>2076</v>
      </c>
      <c r="B40" t="s">
        <v>2077</v>
      </c>
      <c r="C40" t="s">
        <v>2066</v>
      </c>
      <c r="D40" t="s">
        <v>2067</v>
      </c>
      <c r="E40">
        <v>150</v>
      </c>
      <c r="F40" t="s">
        <v>917</v>
      </c>
      <c r="G40">
        <v>2020</v>
      </c>
      <c r="H40" t="s">
        <v>2066</v>
      </c>
      <c r="I40" t="s">
        <v>2068</v>
      </c>
      <c r="J40" t="s">
        <v>2067</v>
      </c>
      <c r="K40" t="s">
        <v>2066</v>
      </c>
      <c r="L40" t="s">
        <v>2066</v>
      </c>
      <c r="M40" t="s">
        <v>918</v>
      </c>
      <c r="N40" t="s">
        <v>2075</v>
      </c>
      <c r="O40" t="s">
        <v>922</v>
      </c>
    </row>
    <row r="41" spans="1:15" x14ac:dyDescent="0.35">
      <c r="A41" t="s">
        <v>2078</v>
      </c>
      <c r="B41" t="s">
        <v>2079</v>
      </c>
      <c r="C41" t="s">
        <v>2066</v>
      </c>
      <c r="D41" t="s">
        <v>2067</v>
      </c>
      <c r="E41">
        <v>150</v>
      </c>
      <c r="F41" t="s">
        <v>917</v>
      </c>
      <c r="G41">
        <v>2021</v>
      </c>
      <c r="H41" t="s">
        <v>2066</v>
      </c>
      <c r="I41" t="s">
        <v>2068</v>
      </c>
      <c r="J41" t="s">
        <v>2067</v>
      </c>
      <c r="K41" t="s">
        <v>2066</v>
      </c>
      <c r="L41" t="s">
        <v>2066</v>
      </c>
      <c r="M41" t="s">
        <v>952</v>
      </c>
      <c r="N41" t="s">
        <v>2075</v>
      </c>
      <c r="O41" t="s">
        <v>922</v>
      </c>
    </row>
    <row r="42" spans="1:15" x14ac:dyDescent="0.35">
      <c r="A42" t="s">
        <v>417</v>
      </c>
      <c r="B42" t="s">
        <v>93</v>
      </c>
      <c r="C42" t="s">
        <v>2066</v>
      </c>
      <c r="D42" t="s">
        <v>2067</v>
      </c>
      <c r="E42">
        <v>150</v>
      </c>
      <c r="F42" t="s">
        <v>917</v>
      </c>
      <c r="G42">
        <v>2021</v>
      </c>
      <c r="H42" t="s">
        <v>2066</v>
      </c>
      <c r="I42" t="s">
        <v>2068</v>
      </c>
      <c r="J42" t="s">
        <v>2067</v>
      </c>
      <c r="K42" t="s">
        <v>2066</v>
      </c>
      <c r="L42" t="s">
        <v>2066</v>
      </c>
      <c r="M42" t="s">
        <v>918</v>
      </c>
      <c r="N42" t="s">
        <v>2075</v>
      </c>
      <c r="O42" t="s">
        <v>922</v>
      </c>
    </row>
    <row r="43" spans="1:15" x14ac:dyDescent="0.35">
      <c r="A43" t="s">
        <v>2080</v>
      </c>
      <c r="B43" t="s">
        <v>2081</v>
      </c>
      <c r="C43" t="s">
        <v>2066</v>
      </c>
      <c r="D43" t="s">
        <v>2067</v>
      </c>
      <c r="E43">
        <v>150</v>
      </c>
      <c r="F43" t="s">
        <v>917</v>
      </c>
      <c r="G43">
        <v>2022</v>
      </c>
      <c r="H43" t="s">
        <v>2066</v>
      </c>
      <c r="I43" t="s">
        <v>2068</v>
      </c>
      <c r="J43" t="s">
        <v>2067</v>
      </c>
      <c r="K43" t="s">
        <v>2066</v>
      </c>
      <c r="L43" t="s">
        <v>2066</v>
      </c>
      <c r="M43" t="s">
        <v>952</v>
      </c>
      <c r="N43" t="s">
        <v>2075</v>
      </c>
      <c r="O43" t="s">
        <v>922</v>
      </c>
    </row>
    <row r="44" spans="1:15" x14ac:dyDescent="0.35">
      <c r="A44" t="s">
        <v>2082</v>
      </c>
      <c r="B44" t="s">
        <v>2083</v>
      </c>
      <c r="C44" t="s">
        <v>2066</v>
      </c>
      <c r="D44" t="s">
        <v>2067</v>
      </c>
      <c r="E44">
        <v>150</v>
      </c>
      <c r="F44" t="s">
        <v>917</v>
      </c>
      <c r="G44">
        <v>2022</v>
      </c>
      <c r="H44" t="s">
        <v>2066</v>
      </c>
      <c r="I44" t="s">
        <v>2068</v>
      </c>
      <c r="J44" t="s">
        <v>2067</v>
      </c>
      <c r="K44" t="s">
        <v>2066</v>
      </c>
      <c r="L44" t="s">
        <v>2066</v>
      </c>
      <c r="M44" t="s">
        <v>969</v>
      </c>
      <c r="N44" t="s">
        <v>2075</v>
      </c>
      <c r="O44" t="s">
        <v>922</v>
      </c>
    </row>
    <row r="45" spans="1:15" x14ac:dyDescent="0.35">
      <c r="A45" t="s">
        <v>320</v>
      </c>
      <c r="B45" t="s">
        <v>94</v>
      </c>
      <c r="C45" t="s">
        <v>2066</v>
      </c>
      <c r="D45" t="s">
        <v>2067</v>
      </c>
      <c r="E45">
        <v>150</v>
      </c>
      <c r="F45" t="s">
        <v>917</v>
      </c>
      <c r="G45">
        <v>2022</v>
      </c>
      <c r="H45" t="s">
        <v>2066</v>
      </c>
      <c r="I45" t="s">
        <v>2068</v>
      </c>
      <c r="J45" t="s">
        <v>2067</v>
      </c>
      <c r="K45" t="s">
        <v>2066</v>
      </c>
      <c r="L45" t="s">
        <v>2066</v>
      </c>
      <c r="M45" t="s">
        <v>918</v>
      </c>
      <c r="N45" t="s">
        <v>2075</v>
      </c>
      <c r="O45" t="s">
        <v>922</v>
      </c>
    </row>
    <row r="46" spans="1:15" x14ac:dyDescent="0.35">
      <c r="A46" t="s">
        <v>2084</v>
      </c>
      <c r="B46" t="s">
        <v>2085</v>
      </c>
      <c r="C46" t="s">
        <v>2066</v>
      </c>
      <c r="D46" t="s">
        <v>2067</v>
      </c>
      <c r="E46">
        <v>150</v>
      </c>
      <c r="F46" t="s">
        <v>917</v>
      </c>
      <c r="G46">
        <v>2023</v>
      </c>
      <c r="H46" t="s">
        <v>2066</v>
      </c>
      <c r="I46" t="s">
        <v>2068</v>
      </c>
      <c r="J46" t="s">
        <v>2067</v>
      </c>
      <c r="K46" t="s">
        <v>2066</v>
      </c>
      <c r="L46" t="s">
        <v>2066</v>
      </c>
      <c r="M46" t="s">
        <v>952</v>
      </c>
      <c r="N46" t="s">
        <v>2075</v>
      </c>
      <c r="O46" t="s">
        <v>922</v>
      </c>
    </row>
    <row r="47" spans="1:15" x14ac:dyDescent="0.35">
      <c r="A47" t="s">
        <v>2086</v>
      </c>
      <c r="B47" t="s">
        <v>2087</v>
      </c>
      <c r="C47" t="s">
        <v>2066</v>
      </c>
      <c r="D47" t="s">
        <v>2067</v>
      </c>
      <c r="E47">
        <v>150</v>
      </c>
      <c r="F47" t="s">
        <v>917</v>
      </c>
      <c r="G47">
        <v>2023</v>
      </c>
      <c r="H47" t="s">
        <v>2066</v>
      </c>
      <c r="I47" t="s">
        <v>2068</v>
      </c>
      <c r="J47" t="s">
        <v>2067</v>
      </c>
      <c r="K47" t="s">
        <v>2066</v>
      </c>
      <c r="L47" t="s">
        <v>2066</v>
      </c>
      <c r="M47" t="s">
        <v>969</v>
      </c>
      <c r="N47" t="s">
        <v>2075</v>
      </c>
      <c r="O47" t="s">
        <v>922</v>
      </c>
    </row>
    <row r="48" spans="1:15" x14ac:dyDescent="0.35">
      <c r="A48" t="s">
        <v>328</v>
      </c>
      <c r="B48" t="s">
        <v>95</v>
      </c>
      <c r="C48" t="s">
        <v>2066</v>
      </c>
      <c r="D48" t="s">
        <v>2067</v>
      </c>
      <c r="E48">
        <v>150</v>
      </c>
      <c r="F48" t="s">
        <v>917</v>
      </c>
      <c r="G48">
        <v>2023</v>
      </c>
      <c r="H48" t="s">
        <v>2066</v>
      </c>
      <c r="I48" t="s">
        <v>2068</v>
      </c>
      <c r="J48" t="s">
        <v>2067</v>
      </c>
      <c r="K48" t="s">
        <v>2066</v>
      </c>
      <c r="L48" t="s">
        <v>2066</v>
      </c>
      <c r="M48" t="s">
        <v>918</v>
      </c>
      <c r="N48" t="s">
        <v>2075</v>
      </c>
      <c r="O48" t="s">
        <v>922</v>
      </c>
    </row>
    <row r="49" spans="1:15" x14ac:dyDescent="0.35">
      <c r="A49" t="s">
        <v>2088</v>
      </c>
      <c r="B49" t="s">
        <v>2089</v>
      </c>
      <c r="C49" t="s">
        <v>2066</v>
      </c>
      <c r="D49" t="s">
        <v>2067</v>
      </c>
      <c r="E49">
        <v>150</v>
      </c>
      <c r="F49" t="s">
        <v>917</v>
      </c>
      <c r="G49">
        <v>2024</v>
      </c>
      <c r="H49" t="s">
        <v>2066</v>
      </c>
      <c r="I49" t="s">
        <v>2068</v>
      </c>
      <c r="J49" t="s">
        <v>2067</v>
      </c>
      <c r="K49" t="s">
        <v>2066</v>
      </c>
      <c r="L49" t="s">
        <v>2066</v>
      </c>
      <c r="M49" t="s">
        <v>952</v>
      </c>
      <c r="N49" t="s">
        <v>2075</v>
      </c>
      <c r="O49" t="s">
        <v>922</v>
      </c>
    </row>
    <row r="50" spans="1:15" x14ac:dyDescent="0.35">
      <c r="A50" t="s">
        <v>2090</v>
      </c>
      <c r="B50" t="s">
        <v>2091</v>
      </c>
      <c r="C50" t="s">
        <v>2066</v>
      </c>
      <c r="D50" t="s">
        <v>2067</v>
      </c>
      <c r="E50">
        <v>150</v>
      </c>
      <c r="F50" t="s">
        <v>917</v>
      </c>
      <c r="G50">
        <v>2024</v>
      </c>
      <c r="H50" t="s">
        <v>2066</v>
      </c>
      <c r="I50" t="s">
        <v>2068</v>
      </c>
      <c r="J50" t="s">
        <v>2067</v>
      </c>
      <c r="K50" t="s">
        <v>2066</v>
      </c>
      <c r="L50" t="s">
        <v>2066</v>
      </c>
      <c r="M50" t="s">
        <v>969</v>
      </c>
      <c r="N50" t="s">
        <v>2075</v>
      </c>
      <c r="O50" t="s">
        <v>922</v>
      </c>
    </row>
    <row r="51" spans="1:15" x14ac:dyDescent="0.35">
      <c r="A51" t="s">
        <v>299</v>
      </c>
      <c r="B51" t="s">
        <v>96</v>
      </c>
      <c r="C51" t="s">
        <v>2066</v>
      </c>
      <c r="D51" t="s">
        <v>2067</v>
      </c>
      <c r="E51">
        <v>150</v>
      </c>
      <c r="F51" t="s">
        <v>917</v>
      </c>
      <c r="G51">
        <v>2024</v>
      </c>
      <c r="H51" t="s">
        <v>2066</v>
      </c>
      <c r="I51" t="s">
        <v>2068</v>
      </c>
      <c r="J51" t="s">
        <v>2067</v>
      </c>
      <c r="K51" t="s">
        <v>2066</v>
      </c>
      <c r="L51" t="s">
        <v>2066</v>
      </c>
      <c r="M51" t="s">
        <v>918</v>
      </c>
      <c r="N51" t="s">
        <v>2075</v>
      </c>
      <c r="O51" t="s">
        <v>922</v>
      </c>
    </row>
    <row r="52" spans="1:15" x14ac:dyDescent="0.35">
      <c r="A52" t="s">
        <v>651</v>
      </c>
      <c r="B52" t="s">
        <v>2092</v>
      </c>
      <c r="C52" t="s">
        <v>2066</v>
      </c>
      <c r="D52" t="s">
        <v>2067</v>
      </c>
      <c r="E52">
        <v>150</v>
      </c>
      <c r="F52" t="s">
        <v>917</v>
      </c>
      <c r="G52">
        <v>2025</v>
      </c>
      <c r="H52" t="s">
        <v>2066</v>
      </c>
      <c r="I52" t="s">
        <v>2068</v>
      </c>
      <c r="J52" t="s">
        <v>2067</v>
      </c>
      <c r="K52" t="s">
        <v>2066</v>
      </c>
      <c r="L52" t="s">
        <v>2066</v>
      </c>
      <c r="M52" t="s">
        <v>952</v>
      </c>
      <c r="N52" t="s">
        <v>2075</v>
      </c>
      <c r="O52" t="s">
        <v>2093</v>
      </c>
    </row>
    <row r="53" spans="1:15" x14ac:dyDescent="0.35">
      <c r="A53" t="s">
        <v>2094</v>
      </c>
      <c r="B53" t="s">
        <v>2095</v>
      </c>
      <c r="C53" t="s">
        <v>2066</v>
      </c>
      <c r="D53" t="s">
        <v>2067</v>
      </c>
      <c r="E53">
        <v>150</v>
      </c>
      <c r="F53" t="s">
        <v>917</v>
      </c>
      <c r="G53">
        <v>2025</v>
      </c>
      <c r="H53" t="s">
        <v>2066</v>
      </c>
      <c r="I53" t="s">
        <v>2068</v>
      </c>
      <c r="J53" t="s">
        <v>2067</v>
      </c>
      <c r="K53" t="s">
        <v>2066</v>
      </c>
      <c r="L53" t="s">
        <v>2066</v>
      </c>
      <c r="M53" t="s">
        <v>969</v>
      </c>
      <c r="N53" t="s">
        <v>2075</v>
      </c>
      <c r="O53" t="s">
        <v>2093</v>
      </c>
    </row>
    <row r="54" spans="1:15" x14ac:dyDescent="0.35">
      <c r="A54" t="s">
        <v>256</v>
      </c>
      <c r="B54" t="s">
        <v>142</v>
      </c>
      <c r="C54" t="s">
        <v>2066</v>
      </c>
      <c r="D54" t="s">
        <v>2067</v>
      </c>
      <c r="E54">
        <v>150</v>
      </c>
      <c r="F54" t="s">
        <v>917</v>
      </c>
      <c r="G54">
        <v>2025</v>
      </c>
      <c r="H54" t="s">
        <v>2066</v>
      </c>
      <c r="I54" t="s">
        <v>2068</v>
      </c>
      <c r="J54" t="s">
        <v>2067</v>
      </c>
      <c r="K54" t="s">
        <v>2066</v>
      </c>
      <c r="L54" t="s">
        <v>2066</v>
      </c>
      <c r="M54" t="s">
        <v>918</v>
      </c>
      <c r="N54" t="s">
        <v>2075</v>
      </c>
      <c r="O54" t="s">
        <v>2093</v>
      </c>
    </row>
    <row r="55" spans="1:15" x14ac:dyDescent="0.35">
      <c r="A55" t="s">
        <v>2096</v>
      </c>
      <c r="B55" t="s">
        <v>2097</v>
      </c>
      <c r="C55" t="s">
        <v>2066</v>
      </c>
      <c r="D55" t="s">
        <v>2067</v>
      </c>
      <c r="E55">
        <v>150</v>
      </c>
      <c r="F55" t="s">
        <v>958</v>
      </c>
      <c r="G55">
        <v>2019</v>
      </c>
      <c r="H55" t="s">
        <v>2066</v>
      </c>
      <c r="I55" t="s">
        <v>2068</v>
      </c>
      <c r="J55" t="s">
        <v>2067</v>
      </c>
      <c r="K55" t="s">
        <v>2066</v>
      </c>
      <c r="L55" t="s">
        <v>2066</v>
      </c>
      <c r="M55" t="s">
        <v>952</v>
      </c>
      <c r="N55" t="s">
        <v>2098</v>
      </c>
      <c r="O55" t="s">
        <v>922</v>
      </c>
    </row>
    <row r="56" spans="1:15" x14ac:dyDescent="0.35">
      <c r="A56" t="s">
        <v>2099</v>
      </c>
      <c r="B56" t="s">
        <v>2100</v>
      </c>
      <c r="C56" t="s">
        <v>2066</v>
      </c>
      <c r="D56" t="s">
        <v>2067</v>
      </c>
      <c r="E56">
        <v>150</v>
      </c>
      <c r="F56" t="s">
        <v>958</v>
      </c>
      <c r="G56">
        <v>2022</v>
      </c>
      <c r="H56" t="s">
        <v>2066</v>
      </c>
      <c r="I56" t="s">
        <v>2068</v>
      </c>
      <c r="J56" t="s">
        <v>2067</v>
      </c>
      <c r="K56" t="s">
        <v>2066</v>
      </c>
      <c r="L56" t="s">
        <v>2066</v>
      </c>
      <c r="M56" t="s">
        <v>952</v>
      </c>
      <c r="N56" t="s">
        <v>2098</v>
      </c>
      <c r="O56" t="s">
        <v>922</v>
      </c>
    </row>
    <row r="57" spans="1:15" x14ac:dyDescent="0.35">
      <c r="A57" t="s">
        <v>875</v>
      </c>
      <c r="B57" t="s">
        <v>2101</v>
      </c>
      <c r="C57" t="s">
        <v>2066</v>
      </c>
      <c r="D57" t="s">
        <v>2067</v>
      </c>
      <c r="E57">
        <v>150</v>
      </c>
      <c r="F57" t="s">
        <v>958</v>
      </c>
      <c r="G57">
        <v>2022</v>
      </c>
      <c r="H57" t="s">
        <v>2066</v>
      </c>
      <c r="I57" t="s">
        <v>2068</v>
      </c>
      <c r="J57" t="s">
        <v>2067</v>
      </c>
      <c r="K57" t="s">
        <v>2066</v>
      </c>
      <c r="L57" t="s">
        <v>2066</v>
      </c>
      <c r="M57" t="s">
        <v>918</v>
      </c>
      <c r="N57" t="s">
        <v>2098</v>
      </c>
      <c r="O57" t="s">
        <v>922</v>
      </c>
    </row>
    <row r="58" spans="1:15" x14ac:dyDescent="0.35">
      <c r="A58" t="s">
        <v>2102</v>
      </c>
      <c r="B58" t="s">
        <v>2103</v>
      </c>
      <c r="C58" t="s">
        <v>2066</v>
      </c>
      <c r="D58" t="s">
        <v>2067</v>
      </c>
      <c r="E58">
        <v>150</v>
      </c>
      <c r="F58" t="s">
        <v>958</v>
      </c>
      <c r="G58">
        <v>2023</v>
      </c>
      <c r="H58" t="s">
        <v>2066</v>
      </c>
      <c r="I58" t="s">
        <v>2068</v>
      </c>
      <c r="J58" t="s">
        <v>2067</v>
      </c>
      <c r="K58" t="s">
        <v>2066</v>
      </c>
      <c r="L58" t="s">
        <v>2066</v>
      </c>
      <c r="M58" t="s">
        <v>952</v>
      </c>
      <c r="N58" t="s">
        <v>2098</v>
      </c>
      <c r="O58" t="s">
        <v>922</v>
      </c>
    </row>
    <row r="59" spans="1:15" x14ac:dyDescent="0.35">
      <c r="A59" t="s">
        <v>2104</v>
      </c>
      <c r="B59" t="s">
        <v>2105</v>
      </c>
      <c r="C59" t="s">
        <v>2066</v>
      </c>
      <c r="D59" t="s">
        <v>2067</v>
      </c>
      <c r="E59">
        <v>150</v>
      </c>
      <c r="F59" t="s">
        <v>958</v>
      </c>
      <c r="G59">
        <v>2023</v>
      </c>
      <c r="H59" t="s">
        <v>2066</v>
      </c>
      <c r="I59" t="s">
        <v>2068</v>
      </c>
      <c r="J59" t="s">
        <v>2067</v>
      </c>
      <c r="K59" t="s">
        <v>2066</v>
      </c>
      <c r="L59" t="s">
        <v>2066</v>
      </c>
      <c r="M59" t="s">
        <v>969</v>
      </c>
      <c r="N59" t="s">
        <v>2098</v>
      </c>
      <c r="O59" t="s">
        <v>922</v>
      </c>
    </row>
    <row r="60" spans="1:15" x14ac:dyDescent="0.35">
      <c r="A60" t="s">
        <v>327</v>
      </c>
      <c r="B60" t="s">
        <v>2106</v>
      </c>
      <c r="C60" t="s">
        <v>2066</v>
      </c>
      <c r="D60" t="s">
        <v>2067</v>
      </c>
      <c r="E60">
        <v>150</v>
      </c>
      <c r="F60" t="s">
        <v>958</v>
      </c>
      <c r="G60">
        <v>2023</v>
      </c>
      <c r="H60" t="s">
        <v>2066</v>
      </c>
      <c r="I60" t="s">
        <v>2068</v>
      </c>
      <c r="J60" t="s">
        <v>2067</v>
      </c>
      <c r="K60" t="s">
        <v>2066</v>
      </c>
      <c r="L60" t="s">
        <v>2066</v>
      </c>
      <c r="M60" t="s">
        <v>918</v>
      </c>
      <c r="N60" t="s">
        <v>2098</v>
      </c>
      <c r="O60" t="s">
        <v>922</v>
      </c>
    </row>
    <row r="61" spans="1:15" x14ac:dyDescent="0.35">
      <c r="A61" t="s">
        <v>2107</v>
      </c>
      <c r="B61" t="s">
        <v>2108</v>
      </c>
      <c r="C61" t="s">
        <v>2066</v>
      </c>
      <c r="D61" t="s">
        <v>2067</v>
      </c>
      <c r="E61">
        <v>150</v>
      </c>
      <c r="F61" t="s">
        <v>958</v>
      </c>
      <c r="G61">
        <v>2024</v>
      </c>
      <c r="H61" t="s">
        <v>2066</v>
      </c>
      <c r="I61" t="s">
        <v>2068</v>
      </c>
      <c r="J61" t="s">
        <v>2067</v>
      </c>
      <c r="K61" t="s">
        <v>2066</v>
      </c>
      <c r="L61" t="s">
        <v>2066</v>
      </c>
      <c r="M61" t="s">
        <v>952</v>
      </c>
      <c r="N61" t="s">
        <v>2098</v>
      </c>
      <c r="O61" t="s">
        <v>922</v>
      </c>
    </row>
    <row r="62" spans="1:15" x14ac:dyDescent="0.35">
      <c r="A62" t="s">
        <v>2109</v>
      </c>
      <c r="B62" t="s">
        <v>2110</v>
      </c>
      <c r="C62" t="s">
        <v>2066</v>
      </c>
      <c r="D62" t="s">
        <v>2067</v>
      </c>
      <c r="E62">
        <v>150</v>
      </c>
      <c r="F62" t="s">
        <v>958</v>
      </c>
      <c r="G62">
        <v>2024</v>
      </c>
      <c r="H62" t="s">
        <v>2066</v>
      </c>
      <c r="I62" t="s">
        <v>2068</v>
      </c>
      <c r="J62" t="s">
        <v>2067</v>
      </c>
      <c r="K62" t="s">
        <v>2066</v>
      </c>
      <c r="L62" t="s">
        <v>2066</v>
      </c>
      <c r="M62" t="s">
        <v>969</v>
      </c>
      <c r="N62" t="s">
        <v>2098</v>
      </c>
      <c r="O62" t="s">
        <v>922</v>
      </c>
    </row>
    <row r="63" spans="1:15" x14ac:dyDescent="0.35">
      <c r="A63" t="s">
        <v>296</v>
      </c>
      <c r="B63" t="s">
        <v>2111</v>
      </c>
      <c r="C63" t="s">
        <v>2066</v>
      </c>
      <c r="D63" t="s">
        <v>2067</v>
      </c>
      <c r="E63">
        <v>150</v>
      </c>
      <c r="F63" t="s">
        <v>958</v>
      </c>
      <c r="G63">
        <v>2024</v>
      </c>
      <c r="H63" t="s">
        <v>2066</v>
      </c>
      <c r="I63" t="s">
        <v>2068</v>
      </c>
      <c r="J63" t="s">
        <v>2067</v>
      </c>
      <c r="K63" t="s">
        <v>2066</v>
      </c>
      <c r="L63" t="s">
        <v>2066</v>
      </c>
      <c r="M63" t="s">
        <v>918</v>
      </c>
      <c r="N63" t="s">
        <v>2098</v>
      </c>
      <c r="O63" t="s">
        <v>922</v>
      </c>
    </row>
    <row r="64" spans="1:15" x14ac:dyDescent="0.35">
      <c r="A64" t="s">
        <v>652</v>
      </c>
      <c r="B64" t="s">
        <v>2112</v>
      </c>
      <c r="C64" t="s">
        <v>2066</v>
      </c>
      <c r="D64" t="s">
        <v>2067</v>
      </c>
      <c r="E64">
        <v>150</v>
      </c>
      <c r="F64" t="s">
        <v>958</v>
      </c>
      <c r="G64">
        <v>2025</v>
      </c>
      <c r="H64" t="s">
        <v>2066</v>
      </c>
      <c r="I64" t="s">
        <v>2068</v>
      </c>
      <c r="J64" t="s">
        <v>2067</v>
      </c>
      <c r="K64" t="s">
        <v>2066</v>
      </c>
      <c r="L64" t="s">
        <v>2066</v>
      </c>
      <c r="M64" t="s">
        <v>952</v>
      </c>
      <c r="N64" t="s">
        <v>2098</v>
      </c>
      <c r="O64" t="s">
        <v>2113</v>
      </c>
    </row>
    <row r="65" spans="1:15" x14ac:dyDescent="0.35">
      <c r="A65" t="s">
        <v>2114</v>
      </c>
      <c r="B65" t="s">
        <v>2115</v>
      </c>
      <c r="C65" t="s">
        <v>2066</v>
      </c>
      <c r="D65" t="s">
        <v>2067</v>
      </c>
      <c r="E65">
        <v>150</v>
      </c>
      <c r="F65" t="s">
        <v>958</v>
      </c>
      <c r="G65">
        <v>2025</v>
      </c>
      <c r="H65" t="s">
        <v>2066</v>
      </c>
      <c r="I65" t="s">
        <v>2068</v>
      </c>
      <c r="J65" t="s">
        <v>2067</v>
      </c>
      <c r="K65" t="s">
        <v>2066</v>
      </c>
      <c r="L65" t="s">
        <v>2066</v>
      </c>
      <c r="M65" t="s">
        <v>969</v>
      </c>
      <c r="N65" t="s">
        <v>2098</v>
      </c>
      <c r="O65" t="s">
        <v>2113</v>
      </c>
    </row>
    <row r="66" spans="1:15" x14ac:dyDescent="0.35">
      <c r="A66" t="s">
        <v>257</v>
      </c>
      <c r="B66" t="s">
        <v>143</v>
      </c>
      <c r="C66" t="s">
        <v>2066</v>
      </c>
      <c r="D66" t="s">
        <v>2067</v>
      </c>
      <c r="E66">
        <v>150</v>
      </c>
      <c r="F66" t="s">
        <v>958</v>
      </c>
      <c r="G66">
        <v>2025</v>
      </c>
      <c r="H66" t="s">
        <v>2066</v>
      </c>
      <c r="I66" t="s">
        <v>2068</v>
      </c>
      <c r="J66" t="s">
        <v>2067</v>
      </c>
      <c r="K66" t="s">
        <v>2066</v>
      </c>
      <c r="L66" t="s">
        <v>2066</v>
      </c>
      <c r="M66" t="s">
        <v>918</v>
      </c>
      <c r="N66" t="s">
        <v>2098</v>
      </c>
      <c r="O66" t="s">
        <v>2113</v>
      </c>
    </row>
    <row r="67" spans="1:15" x14ac:dyDescent="0.35">
      <c r="A67" t="s">
        <v>2116</v>
      </c>
      <c r="B67" t="s">
        <v>2117</v>
      </c>
      <c r="C67" t="s">
        <v>2066</v>
      </c>
      <c r="D67" t="s">
        <v>2067</v>
      </c>
      <c r="E67">
        <v>150</v>
      </c>
      <c r="F67" t="s">
        <v>1006</v>
      </c>
      <c r="G67">
        <v>2019</v>
      </c>
      <c r="H67" t="s">
        <v>2066</v>
      </c>
      <c r="I67" t="s">
        <v>2068</v>
      </c>
      <c r="J67" t="s">
        <v>2067</v>
      </c>
      <c r="K67" t="s">
        <v>2066</v>
      </c>
      <c r="L67" t="s">
        <v>2066</v>
      </c>
      <c r="M67" t="s">
        <v>952</v>
      </c>
      <c r="N67" t="s">
        <v>2069</v>
      </c>
      <c r="O67" t="s">
        <v>922</v>
      </c>
    </row>
    <row r="68" spans="1:15" x14ac:dyDescent="0.35">
      <c r="A68" t="s">
        <v>2118</v>
      </c>
      <c r="B68" t="s">
        <v>2119</v>
      </c>
      <c r="C68" t="s">
        <v>2066</v>
      </c>
      <c r="D68" t="s">
        <v>2067</v>
      </c>
      <c r="E68">
        <v>150</v>
      </c>
      <c r="F68" t="s">
        <v>1006</v>
      </c>
      <c r="G68">
        <v>2019</v>
      </c>
      <c r="H68" t="s">
        <v>2066</v>
      </c>
      <c r="I68" t="s">
        <v>2068</v>
      </c>
      <c r="J68" t="s">
        <v>2067</v>
      </c>
      <c r="K68" t="s">
        <v>2066</v>
      </c>
      <c r="L68" t="s">
        <v>2066</v>
      </c>
      <c r="M68" t="s">
        <v>918</v>
      </c>
      <c r="N68" t="s">
        <v>2069</v>
      </c>
      <c r="O68" t="s">
        <v>922</v>
      </c>
    </row>
    <row r="69" spans="1:15" x14ac:dyDescent="0.35">
      <c r="A69" t="s">
        <v>2120</v>
      </c>
      <c r="B69" t="s">
        <v>2121</v>
      </c>
      <c r="C69" t="s">
        <v>2066</v>
      </c>
      <c r="D69" t="s">
        <v>2067</v>
      </c>
      <c r="E69">
        <v>150</v>
      </c>
      <c r="F69" t="s">
        <v>917</v>
      </c>
      <c r="G69">
        <v>2025</v>
      </c>
      <c r="H69" t="s">
        <v>2066</v>
      </c>
      <c r="I69" t="s">
        <v>2068</v>
      </c>
      <c r="J69" t="s">
        <v>2067</v>
      </c>
      <c r="K69" t="s">
        <v>2066</v>
      </c>
      <c r="L69" t="s">
        <v>2066</v>
      </c>
      <c r="M69" t="s">
        <v>920</v>
      </c>
      <c r="N69" t="s">
        <v>2075</v>
      </c>
      <c r="O69" t="s">
        <v>2093</v>
      </c>
    </row>
    <row r="70" spans="1:15" x14ac:dyDescent="0.35">
      <c r="A70" t="s">
        <v>2122</v>
      </c>
      <c r="B70" t="s">
        <v>2123</v>
      </c>
      <c r="C70" t="s">
        <v>2066</v>
      </c>
      <c r="D70" t="s">
        <v>2067</v>
      </c>
      <c r="E70">
        <v>150</v>
      </c>
      <c r="F70" t="s">
        <v>958</v>
      </c>
      <c r="G70">
        <v>2025</v>
      </c>
      <c r="H70" t="s">
        <v>2066</v>
      </c>
      <c r="I70" t="s">
        <v>2068</v>
      </c>
      <c r="J70" t="s">
        <v>2067</v>
      </c>
      <c r="K70" t="s">
        <v>2066</v>
      </c>
      <c r="L70" t="s">
        <v>2066</v>
      </c>
      <c r="M70" t="s">
        <v>920</v>
      </c>
      <c r="N70" t="s">
        <v>2098</v>
      </c>
      <c r="O70" t="s">
        <v>2113</v>
      </c>
    </row>
    <row r="71" spans="1:15" x14ac:dyDescent="0.35">
      <c r="A71" t="s">
        <v>822</v>
      </c>
      <c r="B71" t="s">
        <v>2124</v>
      </c>
      <c r="C71" t="s">
        <v>2066</v>
      </c>
      <c r="D71" t="s">
        <v>2067</v>
      </c>
      <c r="E71">
        <v>150</v>
      </c>
      <c r="F71" t="s">
        <v>1006</v>
      </c>
      <c r="G71">
        <v>2019</v>
      </c>
      <c r="H71" t="s">
        <v>2066</v>
      </c>
      <c r="I71" t="s">
        <v>2068</v>
      </c>
      <c r="J71" t="s">
        <v>2067</v>
      </c>
      <c r="K71" t="s">
        <v>2066</v>
      </c>
      <c r="L71" t="s">
        <v>2066</v>
      </c>
      <c r="M71" t="s">
        <v>918</v>
      </c>
      <c r="N71" t="s">
        <v>2069</v>
      </c>
      <c r="O71" t="s">
        <v>922</v>
      </c>
    </row>
    <row r="72" spans="1:15" x14ac:dyDescent="0.35">
      <c r="A72" t="s">
        <v>2194</v>
      </c>
      <c r="B72" t="s">
        <v>2195</v>
      </c>
      <c r="C72" t="s">
        <v>2066</v>
      </c>
      <c r="D72" t="s">
        <v>2067</v>
      </c>
      <c r="E72">
        <v>150</v>
      </c>
      <c r="F72" t="s">
        <v>917</v>
      </c>
      <c r="G72">
        <v>2026</v>
      </c>
      <c r="H72" t="s">
        <v>2066</v>
      </c>
      <c r="I72" t="s">
        <v>2068</v>
      </c>
      <c r="J72" t="s">
        <v>2067</v>
      </c>
      <c r="K72" t="s">
        <v>2066</v>
      </c>
      <c r="L72" t="s">
        <v>2066</v>
      </c>
      <c r="M72" t="s">
        <v>920</v>
      </c>
      <c r="N72" t="s">
        <v>2075</v>
      </c>
      <c r="O72" t="s">
        <v>2093</v>
      </c>
    </row>
    <row r="73" spans="1:15" x14ac:dyDescent="0.35">
      <c r="A73" t="s">
        <v>2196</v>
      </c>
      <c r="B73" t="s">
        <v>2197</v>
      </c>
      <c r="C73" t="s">
        <v>2066</v>
      </c>
      <c r="D73" t="s">
        <v>2067</v>
      </c>
      <c r="E73">
        <v>150</v>
      </c>
      <c r="F73" t="s">
        <v>958</v>
      </c>
      <c r="G73">
        <v>2026</v>
      </c>
      <c r="H73" t="s">
        <v>2066</v>
      </c>
      <c r="I73" t="s">
        <v>2068</v>
      </c>
      <c r="J73" t="s">
        <v>2067</v>
      </c>
      <c r="K73" t="s">
        <v>2066</v>
      </c>
      <c r="L73" t="s">
        <v>2066</v>
      </c>
      <c r="M73" t="s">
        <v>920</v>
      </c>
      <c r="N73" t="s">
        <v>2098</v>
      </c>
      <c r="O73" t="s">
        <v>2113</v>
      </c>
    </row>
    <row r="74" spans="1:15" x14ac:dyDescent="0.35">
      <c r="A74" t="s">
        <v>2319</v>
      </c>
      <c r="B74" t="s">
        <v>2320</v>
      </c>
      <c r="C74" t="s">
        <v>2066</v>
      </c>
      <c r="D74" t="s">
        <v>2067</v>
      </c>
      <c r="E74">
        <v>150</v>
      </c>
      <c r="F74" t="s">
        <v>917</v>
      </c>
      <c r="G74">
        <v>2026</v>
      </c>
      <c r="H74" t="s">
        <v>2066</v>
      </c>
      <c r="I74" t="s">
        <v>2068</v>
      </c>
      <c r="J74" t="s">
        <v>2067</v>
      </c>
      <c r="K74" t="s">
        <v>2066</v>
      </c>
      <c r="L74" t="s">
        <v>2066</v>
      </c>
      <c r="M74" t="s">
        <v>952</v>
      </c>
      <c r="N74" t="s">
        <v>2075</v>
      </c>
      <c r="O74" t="s">
        <v>2093</v>
      </c>
    </row>
    <row r="75" spans="1:15" x14ac:dyDescent="0.35">
      <c r="A75" t="s">
        <v>2321</v>
      </c>
      <c r="B75" t="s">
        <v>2322</v>
      </c>
      <c r="C75" t="s">
        <v>2066</v>
      </c>
      <c r="D75" t="s">
        <v>2067</v>
      </c>
      <c r="E75">
        <v>150</v>
      </c>
      <c r="F75" t="s">
        <v>958</v>
      </c>
      <c r="G75">
        <v>2026</v>
      </c>
      <c r="H75" t="s">
        <v>2066</v>
      </c>
      <c r="I75" t="s">
        <v>2068</v>
      </c>
      <c r="J75" t="s">
        <v>2067</v>
      </c>
      <c r="K75" t="s">
        <v>2066</v>
      </c>
      <c r="L75" t="s">
        <v>2066</v>
      </c>
      <c r="M75" t="s">
        <v>952</v>
      </c>
      <c r="N75" t="s">
        <v>2098</v>
      </c>
      <c r="O75" t="s">
        <v>2113</v>
      </c>
    </row>
    <row r="76" spans="1:15" x14ac:dyDescent="0.35">
      <c r="A76" t="s">
        <v>2407</v>
      </c>
      <c r="B76" t="s">
        <v>2320</v>
      </c>
      <c r="C76" t="s">
        <v>2066</v>
      </c>
      <c r="D76" t="s">
        <v>2067</v>
      </c>
      <c r="E76">
        <v>150</v>
      </c>
      <c r="F76" t="s">
        <v>917</v>
      </c>
      <c r="G76">
        <v>2026</v>
      </c>
      <c r="H76" t="s">
        <v>2066</v>
      </c>
      <c r="I76" t="s">
        <v>2068</v>
      </c>
      <c r="J76" t="s">
        <v>2067</v>
      </c>
      <c r="K76" t="s">
        <v>2066</v>
      </c>
      <c r="L76" t="s">
        <v>2066</v>
      </c>
      <c r="M76" t="s">
        <v>918</v>
      </c>
      <c r="N76" t="s">
        <v>2075</v>
      </c>
      <c r="O76" t="s">
        <v>2093</v>
      </c>
    </row>
    <row r="77" spans="1:15" x14ac:dyDescent="0.35">
      <c r="A77" t="s">
        <v>2408</v>
      </c>
      <c r="B77" t="s">
        <v>2322</v>
      </c>
      <c r="C77" t="s">
        <v>2066</v>
      </c>
      <c r="D77" t="s">
        <v>2067</v>
      </c>
      <c r="E77">
        <v>150</v>
      </c>
      <c r="F77" t="s">
        <v>958</v>
      </c>
      <c r="G77">
        <v>2026</v>
      </c>
      <c r="H77" t="s">
        <v>2066</v>
      </c>
      <c r="I77" t="s">
        <v>2068</v>
      </c>
      <c r="J77" t="s">
        <v>2067</v>
      </c>
      <c r="K77" t="s">
        <v>2066</v>
      </c>
      <c r="L77" t="s">
        <v>2066</v>
      </c>
      <c r="M77" t="s">
        <v>918</v>
      </c>
      <c r="N77" t="s">
        <v>2098</v>
      </c>
      <c r="O77" t="s">
        <v>2113</v>
      </c>
    </row>
    <row r="78" spans="1:15" x14ac:dyDescent="0.35">
      <c r="A78" t="s">
        <v>2426</v>
      </c>
      <c r="B78" t="s">
        <v>2320</v>
      </c>
      <c r="C78" t="s">
        <v>2066</v>
      </c>
      <c r="D78" t="s">
        <v>2067</v>
      </c>
      <c r="E78">
        <v>150</v>
      </c>
      <c r="F78" t="s">
        <v>917</v>
      </c>
      <c r="G78">
        <v>2026</v>
      </c>
      <c r="H78" t="s">
        <v>2066</v>
      </c>
      <c r="I78" t="s">
        <v>2068</v>
      </c>
      <c r="J78" t="s">
        <v>2067</v>
      </c>
      <c r="K78" t="s">
        <v>2066</v>
      </c>
      <c r="L78" t="s">
        <v>2066</v>
      </c>
      <c r="M78" t="s">
        <v>969</v>
      </c>
      <c r="N78" t="s">
        <v>2075</v>
      </c>
      <c r="O78" t="s">
        <v>2093</v>
      </c>
    </row>
    <row r="79" spans="1:15" x14ac:dyDescent="0.35">
      <c r="A79" t="s">
        <v>2427</v>
      </c>
      <c r="B79" t="s">
        <v>2322</v>
      </c>
      <c r="C79" t="s">
        <v>2066</v>
      </c>
      <c r="D79" t="s">
        <v>2067</v>
      </c>
      <c r="E79">
        <v>150</v>
      </c>
      <c r="F79" t="s">
        <v>958</v>
      </c>
      <c r="G79">
        <v>2026</v>
      </c>
      <c r="H79" t="s">
        <v>2066</v>
      </c>
      <c r="I79" t="s">
        <v>2068</v>
      </c>
      <c r="J79" t="s">
        <v>2067</v>
      </c>
      <c r="K79" t="s">
        <v>2066</v>
      </c>
      <c r="L79" t="s">
        <v>2066</v>
      </c>
      <c r="M79" t="s">
        <v>969</v>
      </c>
      <c r="N79" t="s">
        <v>2098</v>
      </c>
      <c r="O79" t="s">
        <v>2113</v>
      </c>
    </row>
    <row r="80" spans="1:15" x14ac:dyDescent="0.35">
      <c r="A80" t="s">
        <v>2046</v>
      </c>
      <c r="B80" t="s">
        <v>2047</v>
      </c>
      <c r="C80" t="s">
        <v>2048</v>
      </c>
      <c r="D80" t="s">
        <v>2049</v>
      </c>
      <c r="E80">
        <v>125</v>
      </c>
      <c r="F80" t="s">
        <v>951</v>
      </c>
      <c r="G80">
        <v>2023</v>
      </c>
      <c r="H80" t="s">
        <v>2048</v>
      </c>
      <c r="I80" t="s">
        <v>2048</v>
      </c>
      <c r="J80" t="s">
        <v>919</v>
      </c>
      <c r="K80" t="s">
        <v>919</v>
      </c>
      <c r="M80" t="s">
        <v>952</v>
      </c>
      <c r="N80" t="s">
        <v>1679</v>
      </c>
      <c r="O80" t="s">
        <v>922</v>
      </c>
    </row>
    <row r="81" spans="1:15" x14ac:dyDescent="0.35">
      <c r="A81" t="s">
        <v>2050</v>
      </c>
      <c r="B81" t="s">
        <v>2051</v>
      </c>
      <c r="C81" t="s">
        <v>2048</v>
      </c>
      <c r="D81" t="s">
        <v>2049</v>
      </c>
      <c r="E81">
        <v>125</v>
      </c>
      <c r="F81" t="s">
        <v>951</v>
      </c>
      <c r="G81">
        <v>2023</v>
      </c>
      <c r="H81" t="s">
        <v>2048</v>
      </c>
      <c r="I81" t="s">
        <v>2048</v>
      </c>
      <c r="J81" t="s">
        <v>919</v>
      </c>
      <c r="K81" t="s">
        <v>919</v>
      </c>
      <c r="M81" t="s">
        <v>969</v>
      </c>
      <c r="N81" t="s">
        <v>1679</v>
      </c>
      <c r="O81" t="s">
        <v>922</v>
      </c>
    </row>
    <row r="82" spans="1:15" x14ac:dyDescent="0.35">
      <c r="A82" t="s">
        <v>2052</v>
      </c>
      <c r="B82" t="s">
        <v>2053</v>
      </c>
      <c r="C82" t="s">
        <v>2048</v>
      </c>
      <c r="D82" t="s">
        <v>2049</v>
      </c>
      <c r="E82">
        <v>125</v>
      </c>
      <c r="F82" t="s">
        <v>958</v>
      </c>
      <c r="G82">
        <v>2021</v>
      </c>
      <c r="H82" t="s">
        <v>2048</v>
      </c>
      <c r="I82" t="s">
        <v>2048</v>
      </c>
      <c r="J82" t="s">
        <v>919</v>
      </c>
      <c r="K82" t="s">
        <v>919</v>
      </c>
      <c r="M82" t="s">
        <v>952</v>
      </c>
      <c r="N82" t="s">
        <v>1669</v>
      </c>
      <c r="O82" t="s">
        <v>922</v>
      </c>
    </row>
    <row r="83" spans="1:15" x14ac:dyDescent="0.35">
      <c r="A83" t="s">
        <v>2054</v>
      </c>
      <c r="B83" t="s">
        <v>2055</v>
      </c>
      <c r="C83" t="s">
        <v>2048</v>
      </c>
      <c r="D83" t="s">
        <v>2049</v>
      </c>
      <c r="E83">
        <v>125</v>
      </c>
      <c r="F83" t="s">
        <v>1006</v>
      </c>
      <c r="G83">
        <v>2021</v>
      </c>
      <c r="H83" t="s">
        <v>2048</v>
      </c>
      <c r="I83" t="s">
        <v>2048</v>
      </c>
      <c r="J83" t="s">
        <v>919</v>
      </c>
      <c r="K83" t="s">
        <v>919</v>
      </c>
      <c r="M83" t="s">
        <v>952</v>
      </c>
      <c r="N83" t="s">
        <v>1568</v>
      </c>
      <c r="O83" t="s">
        <v>922</v>
      </c>
    </row>
    <row r="84" spans="1:15" x14ac:dyDescent="0.35">
      <c r="A84" t="s">
        <v>2056</v>
      </c>
      <c r="B84" t="s">
        <v>2057</v>
      </c>
      <c r="C84" t="s">
        <v>2048</v>
      </c>
      <c r="D84" t="s">
        <v>2049</v>
      </c>
      <c r="E84">
        <v>125</v>
      </c>
      <c r="F84" t="s">
        <v>1006</v>
      </c>
      <c r="G84">
        <v>2023</v>
      </c>
      <c r="H84" t="s">
        <v>2048</v>
      </c>
      <c r="I84" t="s">
        <v>2048</v>
      </c>
      <c r="J84" t="s">
        <v>919</v>
      </c>
      <c r="K84" t="s">
        <v>919</v>
      </c>
      <c r="M84" t="s">
        <v>952</v>
      </c>
      <c r="N84" t="s">
        <v>1568</v>
      </c>
      <c r="O84" t="s">
        <v>922</v>
      </c>
    </row>
    <row r="85" spans="1:15" x14ac:dyDescent="0.35">
      <c r="A85" t="s">
        <v>2058</v>
      </c>
      <c r="B85" t="s">
        <v>2059</v>
      </c>
      <c r="C85" t="s">
        <v>2048</v>
      </c>
      <c r="D85" t="s">
        <v>2049</v>
      </c>
      <c r="E85">
        <v>125</v>
      </c>
      <c r="F85" t="s">
        <v>1006</v>
      </c>
      <c r="G85">
        <v>2023</v>
      </c>
      <c r="H85" t="s">
        <v>2048</v>
      </c>
      <c r="I85" t="s">
        <v>2048</v>
      </c>
      <c r="J85" t="s">
        <v>919</v>
      </c>
      <c r="K85" t="s">
        <v>919</v>
      </c>
      <c r="M85" t="s">
        <v>969</v>
      </c>
      <c r="N85" t="s">
        <v>1568</v>
      </c>
      <c r="O85" t="s">
        <v>922</v>
      </c>
    </row>
    <row r="86" spans="1:15" x14ac:dyDescent="0.35">
      <c r="A86" t="s">
        <v>2060</v>
      </c>
      <c r="B86" t="s">
        <v>2061</v>
      </c>
      <c r="C86" t="s">
        <v>2048</v>
      </c>
      <c r="D86" t="s">
        <v>2049</v>
      </c>
      <c r="E86">
        <v>125</v>
      </c>
      <c r="F86" t="s">
        <v>1006</v>
      </c>
      <c r="G86">
        <v>2023</v>
      </c>
      <c r="H86" t="s">
        <v>2048</v>
      </c>
      <c r="I86" t="s">
        <v>2048</v>
      </c>
      <c r="J86" t="s">
        <v>919</v>
      </c>
      <c r="K86" t="s">
        <v>919</v>
      </c>
      <c r="M86" t="s">
        <v>918</v>
      </c>
      <c r="N86" t="s">
        <v>1568</v>
      </c>
      <c r="O86" t="s">
        <v>922</v>
      </c>
    </row>
    <row r="87" spans="1:15" x14ac:dyDescent="0.35">
      <c r="A87" t="s">
        <v>2062</v>
      </c>
      <c r="B87" t="s">
        <v>2063</v>
      </c>
      <c r="C87" t="s">
        <v>2048</v>
      </c>
      <c r="D87" t="s">
        <v>2049</v>
      </c>
      <c r="E87">
        <v>125</v>
      </c>
      <c r="F87" t="s">
        <v>951</v>
      </c>
      <c r="G87">
        <v>2023</v>
      </c>
      <c r="H87" t="s">
        <v>2048</v>
      </c>
      <c r="I87" t="s">
        <v>2048</v>
      </c>
      <c r="J87" t="s">
        <v>919</v>
      </c>
      <c r="K87" t="s">
        <v>919</v>
      </c>
      <c r="M87" t="s">
        <v>918</v>
      </c>
      <c r="N87" t="s">
        <v>1679</v>
      </c>
      <c r="O87" t="s">
        <v>922</v>
      </c>
    </row>
    <row r="88" spans="1:15" x14ac:dyDescent="0.35">
      <c r="A88" t="s">
        <v>1979</v>
      </c>
      <c r="B88" t="s">
        <v>1980</v>
      </c>
      <c r="C88" t="s">
        <v>1981</v>
      </c>
      <c r="D88" t="s">
        <v>1876</v>
      </c>
      <c r="E88">
        <v>250</v>
      </c>
      <c r="F88" t="s">
        <v>958</v>
      </c>
      <c r="G88">
        <v>2022</v>
      </c>
      <c r="H88" t="s">
        <v>1981</v>
      </c>
      <c r="I88" t="s">
        <v>1981</v>
      </c>
      <c r="J88" t="s">
        <v>1876</v>
      </c>
      <c r="K88" t="s">
        <v>1981</v>
      </c>
      <c r="L88" t="s">
        <v>1982</v>
      </c>
      <c r="M88" t="s">
        <v>952</v>
      </c>
      <c r="N88" t="s">
        <v>1983</v>
      </c>
      <c r="O88" t="s">
        <v>922</v>
      </c>
    </row>
    <row r="89" spans="1:15" x14ac:dyDescent="0.35">
      <c r="A89" t="s">
        <v>823</v>
      </c>
      <c r="B89" t="s">
        <v>1984</v>
      </c>
      <c r="C89" t="s">
        <v>1981</v>
      </c>
      <c r="D89" t="s">
        <v>1876</v>
      </c>
      <c r="E89">
        <v>250</v>
      </c>
      <c r="F89" t="s">
        <v>958</v>
      </c>
      <c r="G89">
        <v>2022</v>
      </c>
      <c r="H89" t="s">
        <v>1981</v>
      </c>
      <c r="I89" t="s">
        <v>1981</v>
      </c>
      <c r="J89" t="s">
        <v>1876</v>
      </c>
      <c r="K89" t="s">
        <v>1981</v>
      </c>
      <c r="L89" t="s">
        <v>1982</v>
      </c>
      <c r="M89" t="s">
        <v>918</v>
      </c>
      <c r="N89" t="s">
        <v>1983</v>
      </c>
      <c r="O89" t="s">
        <v>922</v>
      </c>
    </row>
    <row r="90" spans="1:15" x14ac:dyDescent="0.35">
      <c r="A90" t="s">
        <v>1985</v>
      </c>
      <c r="B90" t="s">
        <v>1986</v>
      </c>
      <c r="C90" t="s">
        <v>1981</v>
      </c>
      <c r="D90" t="s">
        <v>1876</v>
      </c>
      <c r="E90">
        <v>250</v>
      </c>
      <c r="F90" t="s">
        <v>958</v>
      </c>
      <c r="G90">
        <v>2023</v>
      </c>
      <c r="H90" t="s">
        <v>1981</v>
      </c>
      <c r="I90" t="s">
        <v>1981</v>
      </c>
      <c r="J90" t="s">
        <v>1876</v>
      </c>
      <c r="K90" t="s">
        <v>1981</v>
      </c>
      <c r="L90" t="s">
        <v>1982</v>
      </c>
      <c r="M90" t="s">
        <v>952</v>
      </c>
      <c r="N90" t="s">
        <v>1983</v>
      </c>
      <c r="O90" t="s">
        <v>922</v>
      </c>
    </row>
    <row r="91" spans="1:15" x14ac:dyDescent="0.35">
      <c r="A91" t="s">
        <v>329</v>
      </c>
      <c r="B91" t="s">
        <v>1987</v>
      </c>
      <c r="C91" t="s">
        <v>1981</v>
      </c>
      <c r="D91" t="s">
        <v>1876</v>
      </c>
      <c r="E91">
        <v>250</v>
      </c>
      <c r="F91" t="s">
        <v>958</v>
      </c>
      <c r="G91">
        <v>2023</v>
      </c>
      <c r="H91" t="s">
        <v>1981</v>
      </c>
      <c r="I91" t="s">
        <v>1981</v>
      </c>
      <c r="J91" t="s">
        <v>1876</v>
      </c>
      <c r="K91" t="s">
        <v>1981</v>
      </c>
      <c r="L91" t="s">
        <v>1982</v>
      </c>
      <c r="M91" t="s">
        <v>918</v>
      </c>
      <c r="N91" t="s">
        <v>1983</v>
      </c>
      <c r="O91" t="s">
        <v>922</v>
      </c>
    </row>
    <row r="92" spans="1:15" x14ac:dyDescent="0.35">
      <c r="A92" t="s">
        <v>1988</v>
      </c>
      <c r="B92" t="s">
        <v>1989</v>
      </c>
      <c r="C92" t="s">
        <v>1981</v>
      </c>
      <c r="D92" t="s">
        <v>1876</v>
      </c>
      <c r="E92">
        <v>250</v>
      </c>
      <c r="F92" t="s">
        <v>958</v>
      </c>
      <c r="G92">
        <v>2024</v>
      </c>
      <c r="H92" t="s">
        <v>1981</v>
      </c>
      <c r="I92" t="s">
        <v>1981</v>
      </c>
      <c r="J92" t="s">
        <v>1876</v>
      </c>
      <c r="K92" t="s">
        <v>1981</v>
      </c>
      <c r="L92" t="s">
        <v>1982</v>
      </c>
      <c r="M92" t="s">
        <v>952</v>
      </c>
      <c r="N92" t="s">
        <v>1983</v>
      </c>
      <c r="O92" t="s">
        <v>922</v>
      </c>
    </row>
    <row r="93" spans="1:15" x14ac:dyDescent="0.35">
      <c r="A93" t="s">
        <v>1990</v>
      </c>
      <c r="B93" t="s">
        <v>1991</v>
      </c>
      <c r="C93" t="s">
        <v>1981</v>
      </c>
      <c r="D93" t="s">
        <v>1876</v>
      </c>
      <c r="E93">
        <v>250</v>
      </c>
      <c r="F93" t="s">
        <v>958</v>
      </c>
      <c r="G93">
        <v>2024</v>
      </c>
      <c r="H93" t="s">
        <v>1981</v>
      </c>
      <c r="I93" t="s">
        <v>1981</v>
      </c>
      <c r="J93" t="s">
        <v>1876</v>
      </c>
      <c r="K93" t="s">
        <v>1981</v>
      </c>
      <c r="L93" t="s">
        <v>1982</v>
      </c>
      <c r="M93" t="s">
        <v>969</v>
      </c>
      <c r="N93" t="s">
        <v>1983</v>
      </c>
      <c r="O93" t="s">
        <v>922</v>
      </c>
    </row>
    <row r="94" spans="1:15" x14ac:dyDescent="0.35">
      <c r="A94" t="s">
        <v>345</v>
      </c>
      <c r="B94" t="s">
        <v>1992</v>
      </c>
      <c r="C94" t="s">
        <v>1981</v>
      </c>
      <c r="D94" t="s">
        <v>1876</v>
      </c>
      <c r="E94">
        <v>250</v>
      </c>
      <c r="F94" t="s">
        <v>958</v>
      </c>
      <c r="G94">
        <v>2024</v>
      </c>
      <c r="H94" t="s">
        <v>1981</v>
      </c>
      <c r="I94" t="s">
        <v>1981</v>
      </c>
      <c r="J94" t="s">
        <v>1876</v>
      </c>
      <c r="K94" t="s">
        <v>1981</v>
      </c>
      <c r="L94" t="s">
        <v>1982</v>
      </c>
      <c r="M94" t="s">
        <v>918</v>
      </c>
      <c r="N94" t="s">
        <v>1983</v>
      </c>
      <c r="O94" t="s">
        <v>922</v>
      </c>
    </row>
    <row r="95" spans="1:15" x14ac:dyDescent="0.35">
      <c r="A95" t="s">
        <v>653</v>
      </c>
      <c r="B95" t="s">
        <v>1993</v>
      </c>
      <c r="C95" t="s">
        <v>1981</v>
      </c>
      <c r="D95" t="s">
        <v>1876</v>
      </c>
      <c r="E95">
        <v>250</v>
      </c>
      <c r="F95" t="s">
        <v>958</v>
      </c>
      <c r="G95">
        <v>2025</v>
      </c>
      <c r="H95" t="s">
        <v>1981</v>
      </c>
      <c r="I95" t="s">
        <v>1981</v>
      </c>
      <c r="J95" t="s">
        <v>1876</v>
      </c>
      <c r="K95" t="s">
        <v>1981</v>
      </c>
      <c r="L95" t="s">
        <v>1982</v>
      </c>
      <c r="M95" t="s">
        <v>952</v>
      </c>
      <c r="N95" t="s">
        <v>1983</v>
      </c>
      <c r="O95" t="s">
        <v>1994</v>
      </c>
    </row>
    <row r="96" spans="1:15" x14ac:dyDescent="0.35">
      <c r="A96" t="s">
        <v>1995</v>
      </c>
      <c r="B96" t="s">
        <v>1996</v>
      </c>
      <c r="C96" t="s">
        <v>1981</v>
      </c>
      <c r="D96" t="s">
        <v>1876</v>
      </c>
      <c r="E96">
        <v>250</v>
      </c>
      <c r="F96" t="s">
        <v>958</v>
      </c>
      <c r="G96">
        <v>2025</v>
      </c>
      <c r="H96" t="s">
        <v>1981</v>
      </c>
      <c r="I96" t="s">
        <v>1981</v>
      </c>
      <c r="J96" t="s">
        <v>1876</v>
      </c>
      <c r="K96" t="s">
        <v>1981</v>
      </c>
      <c r="L96" t="s">
        <v>1982</v>
      </c>
      <c r="M96" t="s">
        <v>969</v>
      </c>
      <c r="N96" t="s">
        <v>1983</v>
      </c>
      <c r="O96" t="s">
        <v>1994</v>
      </c>
    </row>
    <row r="97" spans="1:15" x14ac:dyDescent="0.35">
      <c r="A97" t="s">
        <v>259</v>
      </c>
      <c r="B97" t="s">
        <v>140</v>
      </c>
      <c r="C97" t="s">
        <v>1981</v>
      </c>
      <c r="D97" t="s">
        <v>1876</v>
      </c>
      <c r="E97">
        <v>250</v>
      </c>
      <c r="F97" t="s">
        <v>958</v>
      </c>
      <c r="G97">
        <v>2025</v>
      </c>
      <c r="H97" t="s">
        <v>1981</v>
      </c>
      <c r="I97" t="s">
        <v>1981</v>
      </c>
      <c r="J97" t="s">
        <v>1876</v>
      </c>
      <c r="K97" t="s">
        <v>1981</v>
      </c>
      <c r="L97" t="s">
        <v>1982</v>
      </c>
      <c r="M97" t="s">
        <v>918</v>
      </c>
      <c r="N97" t="s">
        <v>1983</v>
      </c>
      <c r="O97" t="s">
        <v>1994</v>
      </c>
    </row>
    <row r="98" spans="1:15" x14ac:dyDescent="0.35">
      <c r="A98" t="s">
        <v>1997</v>
      </c>
      <c r="B98" t="s">
        <v>1998</v>
      </c>
      <c r="C98" t="s">
        <v>1981</v>
      </c>
      <c r="D98" t="s">
        <v>1876</v>
      </c>
      <c r="E98">
        <v>250</v>
      </c>
      <c r="F98" t="s">
        <v>958</v>
      </c>
      <c r="G98">
        <v>2022</v>
      </c>
      <c r="H98" t="s">
        <v>1981</v>
      </c>
      <c r="I98" t="s">
        <v>1981</v>
      </c>
      <c r="J98" t="s">
        <v>1876</v>
      </c>
      <c r="K98" t="s">
        <v>1981</v>
      </c>
      <c r="L98" t="s">
        <v>1982</v>
      </c>
      <c r="M98" t="s">
        <v>952</v>
      </c>
      <c r="N98" t="s">
        <v>1983</v>
      </c>
      <c r="O98" t="s">
        <v>922</v>
      </c>
    </row>
    <row r="99" spans="1:15" x14ac:dyDescent="0.35">
      <c r="A99" t="s">
        <v>1999</v>
      </c>
      <c r="B99" t="s">
        <v>2000</v>
      </c>
      <c r="C99" t="s">
        <v>1981</v>
      </c>
      <c r="D99" t="s">
        <v>1876</v>
      </c>
      <c r="E99">
        <v>250</v>
      </c>
      <c r="F99" t="s">
        <v>958</v>
      </c>
      <c r="G99">
        <v>2022</v>
      </c>
      <c r="H99" t="s">
        <v>1981</v>
      </c>
      <c r="I99" t="s">
        <v>1981</v>
      </c>
      <c r="J99" t="s">
        <v>1876</v>
      </c>
      <c r="K99" t="s">
        <v>1981</v>
      </c>
      <c r="L99" t="s">
        <v>1982</v>
      </c>
      <c r="M99" t="s">
        <v>918</v>
      </c>
      <c r="N99" t="s">
        <v>1983</v>
      </c>
      <c r="O99" t="s">
        <v>922</v>
      </c>
    </row>
    <row r="100" spans="1:15" x14ac:dyDescent="0.35">
      <c r="A100" t="s">
        <v>2001</v>
      </c>
      <c r="B100" t="s">
        <v>2002</v>
      </c>
      <c r="C100" t="s">
        <v>1981</v>
      </c>
      <c r="D100" t="s">
        <v>1876</v>
      </c>
      <c r="E100">
        <v>250</v>
      </c>
      <c r="F100" t="s">
        <v>1006</v>
      </c>
      <c r="G100">
        <v>2022</v>
      </c>
      <c r="H100" t="s">
        <v>1981</v>
      </c>
      <c r="I100" t="s">
        <v>1981</v>
      </c>
      <c r="J100" t="s">
        <v>1876</v>
      </c>
      <c r="K100" t="s">
        <v>1981</v>
      </c>
      <c r="L100" t="s">
        <v>1982</v>
      </c>
      <c r="M100" t="s">
        <v>952</v>
      </c>
      <c r="N100" t="s">
        <v>2003</v>
      </c>
      <c r="O100" t="s">
        <v>922</v>
      </c>
    </row>
    <row r="101" spans="1:15" x14ac:dyDescent="0.35">
      <c r="A101" t="s">
        <v>376</v>
      </c>
      <c r="B101" t="s">
        <v>2004</v>
      </c>
      <c r="C101" t="s">
        <v>1981</v>
      </c>
      <c r="D101" t="s">
        <v>1876</v>
      </c>
      <c r="E101">
        <v>250</v>
      </c>
      <c r="F101" t="s">
        <v>1006</v>
      </c>
      <c r="G101">
        <v>2023</v>
      </c>
      <c r="H101" t="s">
        <v>1981</v>
      </c>
      <c r="I101" t="s">
        <v>1981</v>
      </c>
      <c r="J101" t="s">
        <v>1876</v>
      </c>
      <c r="K101" t="s">
        <v>1981</v>
      </c>
      <c r="L101" t="s">
        <v>1982</v>
      </c>
      <c r="M101" t="s">
        <v>918</v>
      </c>
      <c r="N101" t="s">
        <v>2003</v>
      </c>
      <c r="O101" t="s">
        <v>922</v>
      </c>
    </row>
    <row r="102" spans="1:15" x14ac:dyDescent="0.35">
      <c r="A102" t="s">
        <v>2005</v>
      </c>
      <c r="B102" t="s">
        <v>2006</v>
      </c>
      <c r="C102" t="s">
        <v>1981</v>
      </c>
      <c r="D102" t="s">
        <v>1876</v>
      </c>
      <c r="E102">
        <v>250</v>
      </c>
      <c r="F102" t="s">
        <v>1006</v>
      </c>
      <c r="G102">
        <v>2022</v>
      </c>
      <c r="H102" t="s">
        <v>1981</v>
      </c>
      <c r="I102" t="s">
        <v>1981</v>
      </c>
      <c r="J102" t="s">
        <v>1876</v>
      </c>
      <c r="K102" t="s">
        <v>1981</v>
      </c>
      <c r="L102" t="s">
        <v>1982</v>
      </c>
      <c r="M102" t="s">
        <v>952</v>
      </c>
      <c r="N102" t="s">
        <v>2003</v>
      </c>
      <c r="O102" t="s">
        <v>922</v>
      </c>
    </row>
    <row r="103" spans="1:15" x14ac:dyDescent="0.35">
      <c r="A103" t="s">
        <v>321</v>
      </c>
      <c r="B103" t="s">
        <v>2007</v>
      </c>
      <c r="C103" t="s">
        <v>1981</v>
      </c>
      <c r="D103" t="s">
        <v>1876</v>
      </c>
      <c r="E103">
        <v>250</v>
      </c>
      <c r="F103" t="s">
        <v>1006</v>
      </c>
      <c r="G103">
        <v>2022</v>
      </c>
      <c r="H103" t="s">
        <v>1981</v>
      </c>
      <c r="I103" t="s">
        <v>1981</v>
      </c>
      <c r="J103" t="s">
        <v>1876</v>
      </c>
      <c r="K103" t="s">
        <v>1981</v>
      </c>
      <c r="L103" t="s">
        <v>1982</v>
      </c>
      <c r="M103" t="s">
        <v>918</v>
      </c>
      <c r="N103" t="s">
        <v>2003</v>
      </c>
      <c r="O103" t="s">
        <v>922</v>
      </c>
    </row>
    <row r="104" spans="1:15" x14ac:dyDescent="0.35">
      <c r="A104" t="s">
        <v>2008</v>
      </c>
      <c r="B104" t="s">
        <v>2009</v>
      </c>
      <c r="C104" t="s">
        <v>1981</v>
      </c>
      <c r="D104" t="s">
        <v>1876</v>
      </c>
      <c r="E104">
        <v>250</v>
      </c>
      <c r="F104" t="s">
        <v>1006</v>
      </c>
      <c r="G104">
        <v>2023</v>
      </c>
      <c r="H104" t="s">
        <v>1981</v>
      </c>
      <c r="I104" t="s">
        <v>1981</v>
      </c>
      <c r="J104" t="s">
        <v>1876</v>
      </c>
      <c r="K104" t="s">
        <v>1981</v>
      </c>
      <c r="L104" t="s">
        <v>1982</v>
      </c>
      <c r="M104" t="s">
        <v>952</v>
      </c>
      <c r="N104" t="s">
        <v>2003</v>
      </c>
      <c r="O104" t="s">
        <v>922</v>
      </c>
    </row>
    <row r="105" spans="1:15" x14ac:dyDescent="0.35">
      <c r="A105" t="s">
        <v>343</v>
      </c>
      <c r="B105" t="s">
        <v>2010</v>
      </c>
      <c r="C105" t="s">
        <v>1981</v>
      </c>
      <c r="D105" t="s">
        <v>1876</v>
      </c>
      <c r="E105">
        <v>250</v>
      </c>
      <c r="F105" t="s">
        <v>1006</v>
      </c>
      <c r="G105">
        <v>2023</v>
      </c>
      <c r="H105" t="s">
        <v>1981</v>
      </c>
      <c r="I105" t="s">
        <v>1981</v>
      </c>
      <c r="J105" t="s">
        <v>1876</v>
      </c>
      <c r="K105" t="s">
        <v>1981</v>
      </c>
      <c r="L105" t="s">
        <v>1982</v>
      </c>
      <c r="M105" t="s">
        <v>918</v>
      </c>
      <c r="N105" t="s">
        <v>2003</v>
      </c>
      <c r="O105" t="s">
        <v>922</v>
      </c>
    </row>
    <row r="106" spans="1:15" x14ac:dyDescent="0.35">
      <c r="A106" t="s">
        <v>2011</v>
      </c>
      <c r="B106" t="s">
        <v>2012</v>
      </c>
      <c r="C106" t="s">
        <v>1981</v>
      </c>
      <c r="D106" t="s">
        <v>1876</v>
      </c>
      <c r="E106">
        <v>250</v>
      </c>
      <c r="F106" t="s">
        <v>1006</v>
      </c>
      <c r="G106">
        <v>2024</v>
      </c>
      <c r="H106" t="s">
        <v>1981</v>
      </c>
      <c r="I106" t="s">
        <v>1981</v>
      </c>
      <c r="J106" t="s">
        <v>1876</v>
      </c>
      <c r="K106" t="s">
        <v>1981</v>
      </c>
      <c r="L106" t="s">
        <v>1982</v>
      </c>
      <c r="M106" t="s">
        <v>952</v>
      </c>
      <c r="N106" t="s">
        <v>2003</v>
      </c>
      <c r="O106" t="s">
        <v>922</v>
      </c>
    </row>
    <row r="107" spans="1:15" x14ac:dyDescent="0.35">
      <c r="A107" t="s">
        <v>346</v>
      </c>
      <c r="B107" t="s">
        <v>2013</v>
      </c>
      <c r="C107" t="s">
        <v>1981</v>
      </c>
      <c r="D107" t="s">
        <v>1876</v>
      </c>
      <c r="E107">
        <v>250</v>
      </c>
      <c r="F107" t="s">
        <v>1006</v>
      </c>
      <c r="G107">
        <v>2024</v>
      </c>
      <c r="H107" t="s">
        <v>1981</v>
      </c>
      <c r="I107" t="s">
        <v>1981</v>
      </c>
      <c r="J107" t="s">
        <v>1876</v>
      </c>
      <c r="K107" t="s">
        <v>1981</v>
      </c>
      <c r="L107" t="s">
        <v>1982</v>
      </c>
      <c r="M107" t="s">
        <v>918</v>
      </c>
      <c r="N107" t="s">
        <v>2003</v>
      </c>
      <c r="O107" t="s">
        <v>922</v>
      </c>
    </row>
    <row r="108" spans="1:15" x14ac:dyDescent="0.35">
      <c r="A108" t="s">
        <v>2014</v>
      </c>
      <c r="B108" t="s">
        <v>2013</v>
      </c>
      <c r="C108" t="s">
        <v>1981</v>
      </c>
      <c r="D108" t="s">
        <v>1876</v>
      </c>
      <c r="E108">
        <v>250</v>
      </c>
      <c r="F108" t="s">
        <v>1006</v>
      </c>
      <c r="G108">
        <v>2024</v>
      </c>
      <c r="H108" t="s">
        <v>1981</v>
      </c>
      <c r="I108" t="s">
        <v>1981</v>
      </c>
      <c r="J108" t="s">
        <v>1876</v>
      </c>
      <c r="K108" t="s">
        <v>1981</v>
      </c>
      <c r="L108" t="s">
        <v>1982</v>
      </c>
      <c r="M108" t="s">
        <v>918</v>
      </c>
      <c r="N108" t="s">
        <v>2003</v>
      </c>
      <c r="O108" t="s">
        <v>922</v>
      </c>
    </row>
    <row r="109" spans="1:15" x14ac:dyDescent="0.35">
      <c r="A109" t="s">
        <v>654</v>
      </c>
      <c r="B109" t="s">
        <v>2015</v>
      </c>
      <c r="C109" t="s">
        <v>1981</v>
      </c>
      <c r="D109" t="s">
        <v>1876</v>
      </c>
      <c r="E109">
        <v>250</v>
      </c>
      <c r="F109" t="s">
        <v>1006</v>
      </c>
      <c r="G109">
        <v>2025</v>
      </c>
      <c r="H109" t="s">
        <v>1981</v>
      </c>
      <c r="I109" t="s">
        <v>1981</v>
      </c>
      <c r="J109" t="s">
        <v>1876</v>
      </c>
      <c r="K109" t="s">
        <v>1981</v>
      </c>
      <c r="L109" t="s">
        <v>1982</v>
      </c>
      <c r="M109" t="s">
        <v>952</v>
      </c>
      <c r="N109" t="s">
        <v>2003</v>
      </c>
      <c r="O109" t="s">
        <v>2016</v>
      </c>
    </row>
    <row r="110" spans="1:15" x14ac:dyDescent="0.35">
      <c r="A110" t="s">
        <v>2017</v>
      </c>
      <c r="B110" t="s">
        <v>2018</v>
      </c>
      <c r="C110" t="s">
        <v>1981</v>
      </c>
      <c r="D110" t="s">
        <v>1876</v>
      </c>
      <c r="E110">
        <v>250</v>
      </c>
      <c r="F110" t="s">
        <v>1006</v>
      </c>
      <c r="G110">
        <v>2025</v>
      </c>
      <c r="H110" t="s">
        <v>1981</v>
      </c>
      <c r="I110" t="s">
        <v>1981</v>
      </c>
      <c r="J110" t="s">
        <v>1876</v>
      </c>
      <c r="K110" t="s">
        <v>1981</v>
      </c>
      <c r="L110" t="s">
        <v>1982</v>
      </c>
      <c r="M110" t="s">
        <v>969</v>
      </c>
      <c r="N110" t="s">
        <v>2003</v>
      </c>
      <c r="O110" t="s">
        <v>2016</v>
      </c>
    </row>
    <row r="111" spans="1:15" x14ac:dyDescent="0.35">
      <c r="A111" t="s">
        <v>260</v>
      </c>
      <c r="B111" t="s">
        <v>141</v>
      </c>
      <c r="C111" t="s">
        <v>1981</v>
      </c>
      <c r="D111" t="s">
        <v>1876</v>
      </c>
      <c r="E111">
        <v>250</v>
      </c>
      <c r="F111" t="s">
        <v>1006</v>
      </c>
      <c r="G111">
        <v>2025</v>
      </c>
      <c r="H111" t="s">
        <v>1981</v>
      </c>
      <c r="I111" t="s">
        <v>1981</v>
      </c>
      <c r="J111" t="s">
        <v>1876</v>
      </c>
      <c r="K111" t="s">
        <v>1981</v>
      </c>
      <c r="L111" t="s">
        <v>1982</v>
      </c>
      <c r="M111" t="s">
        <v>918</v>
      </c>
      <c r="N111" t="s">
        <v>2003</v>
      </c>
      <c r="O111" t="s">
        <v>2016</v>
      </c>
    </row>
    <row r="112" spans="1:15" x14ac:dyDescent="0.35">
      <c r="A112" t="s">
        <v>2019</v>
      </c>
      <c r="B112" t="s">
        <v>2020</v>
      </c>
      <c r="C112" t="s">
        <v>1981</v>
      </c>
      <c r="D112" t="s">
        <v>1876</v>
      </c>
      <c r="E112">
        <v>250</v>
      </c>
      <c r="F112" t="s">
        <v>958</v>
      </c>
      <c r="G112">
        <v>2023</v>
      </c>
      <c r="H112" t="s">
        <v>1981</v>
      </c>
      <c r="I112" t="s">
        <v>1981</v>
      </c>
      <c r="J112" t="s">
        <v>1876</v>
      </c>
      <c r="K112" t="s">
        <v>1981</v>
      </c>
      <c r="L112" t="s">
        <v>1982</v>
      </c>
      <c r="M112" t="s">
        <v>952</v>
      </c>
      <c r="N112" t="s">
        <v>1983</v>
      </c>
      <c r="O112" t="s">
        <v>922</v>
      </c>
    </row>
    <row r="113" spans="1:15" x14ac:dyDescent="0.35">
      <c r="A113" t="s">
        <v>2021</v>
      </c>
      <c r="B113" t="s">
        <v>2022</v>
      </c>
      <c r="C113" t="s">
        <v>1981</v>
      </c>
      <c r="D113" t="s">
        <v>1876</v>
      </c>
      <c r="E113">
        <v>250</v>
      </c>
      <c r="F113" t="s">
        <v>958</v>
      </c>
      <c r="G113">
        <v>2021</v>
      </c>
      <c r="H113" t="s">
        <v>1981</v>
      </c>
      <c r="I113" t="s">
        <v>1981</v>
      </c>
      <c r="J113" t="s">
        <v>1876</v>
      </c>
      <c r="K113" t="s">
        <v>1981</v>
      </c>
      <c r="L113" t="s">
        <v>1982</v>
      </c>
      <c r="M113" t="s">
        <v>952</v>
      </c>
      <c r="N113" t="s">
        <v>1983</v>
      </c>
      <c r="O113" t="s">
        <v>922</v>
      </c>
    </row>
    <row r="114" spans="1:15" x14ac:dyDescent="0.35">
      <c r="A114" t="s">
        <v>824</v>
      </c>
      <c r="B114" t="s">
        <v>2023</v>
      </c>
      <c r="C114" t="s">
        <v>1981</v>
      </c>
      <c r="D114" t="s">
        <v>1876</v>
      </c>
      <c r="E114">
        <v>250</v>
      </c>
      <c r="F114" t="s">
        <v>958</v>
      </c>
      <c r="G114">
        <v>2021</v>
      </c>
      <c r="H114" t="s">
        <v>1981</v>
      </c>
      <c r="I114" t="s">
        <v>1981</v>
      </c>
      <c r="J114" t="s">
        <v>1876</v>
      </c>
      <c r="K114" t="s">
        <v>1981</v>
      </c>
      <c r="L114" t="s">
        <v>1982</v>
      </c>
      <c r="M114" t="s">
        <v>918</v>
      </c>
      <c r="N114" t="s">
        <v>1983</v>
      </c>
      <c r="O114" t="s">
        <v>922</v>
      </c>
    </row>
    <row r="115" spans="1:15" x14ac:dyDescent="0.35">
      <c r="A115" t="s">
        <v>825</v>
      </c>
      <c r="B115" t="s">
        <v>2024</v>
      </c>
      <c r="C115" t="s">
        <v>1981</v>
      </c>
      <c r="D115" t="s">
        <v>1876</v>
      </c>
      <c r="E115">
        <v>250</v>
      </c>
      <c r="F115" t="s">
        <v>958</v>
      </c>
      <c r="G115">
        <v>2022</v>
      </c>
      <c r="H115" t="s">
        <v>1981</v>
      </c>
      <c r="I115" t="s">
        <v>1981</v>
      </c>
      <c r="J115" t="s">
        <v>1876</v>
      </c>
      <c r="K115" t="s">
        <v>1981</v>
      </c>
      <c r="L115" t="s">
        <v>1982</v>
      </c>
      <c r="M115" t="s">
        <v>918</v>
      </c>
      <c r="N115" t="s">
        <v>1983</v>
      </c>
      <c r="O115" t="s">
        <v>922</v>
      </c>
    </row>
    <row r="116" spans="1:15" x14ac:dyDescent="0.35">
      <c r="A116" t="s">
        <v>2025</v>
      </c>
      <c r="B116" t="s">
        <v>2026</v>
      </c>
      <c r="C116" t="s">
        <v>1981</v>
      </c>
      <c r="D116" t="s">
        <v>1876</v>
      </c>
      <c r="E116">
        <v>250</v>
      </c>
      <c r="F116" t="s">
        <v>1006</v>
      </c>
      <c r="G116">
        <v>2021</v>
      </c>
      <c r="H116" t="s">
        <v>1981</v>
      </c>
      <c r="I116" t="s">
        <v>1981</v>
      </c>
      <c r="J116" t="s">
        <v>1876</v>
      </c>
      <c r="K116" t="s">
        <v>1981</v>
      </c>
      <c r="L116" t="s">
        <v>1982</v>
      </c>
      <c r="M116" t="s">
        <v>952</v>
      </c>
      <c r="N116" t="s">
        <v>2003</v>
      </c>
      <c r="O116" t="s">
        <v>922</v>
      </c>
    </row>
    <row r="117" spans="1:15" x14ac:dyDescent="0.35">
      <c r="A117" t="s">
        <v>826</v>
      </c>
      <c r="B117" t="s">
        <v>2027</v>
      </c>
      <c r="C117" t="s">
        <v>1981</v>
      </c>
      <c r="D117" t="s">
        <v>1876</v>
      </c>
      <c r="E117">
        <v>250</v>
      </c>
      <c r="F117" t="s">
        <v>1006</v>
      </c>
      <c r="G117">
        <v>2021</v>
      </c>
      <c r="H117" t="s">
        <v>1981</v>
      </c>
      <c r="I117" t="s">
        <v>1981</v>
      </c>
      <c r="J117" t="s">
        <v>1876</v>
      </c>
      <c r="K117" t="s">
        <v>1981</v>
      </c>
      <c r="L117" t="s">
        <v>1982</v>
      </c>
      <c r="M117" t="s">
        <v>918</v>
      </c>
      <c r="N117" t="s">
        <v>2003</v>
      </c>
      <c r="O117" t="s">
        <v>922</v>
      </c>
    </row>
    <row r="118" spans="1:15" x14ac:dyDescent="0.35">
      <c r="A118" t="s">
        <v>876</v>
      </c>
      <c r="B118" t="s">
        <v>2028</v>
      </c>
      <c r="C118" t="s">
        <v>1981</v>
      </c>
      <c r="D118" t="s">
        <v>1876</v>
      </c>
      <c r="E118">
        <v>250</v>
      </c>
      <c r="F118" t="s">
        <v>1006</v>
      </c>
      <c r="G118">
        <v>2022</v>
      </c>
      <c r="H118" t="s">
        <v>1981</v>
      </c>
      <c r="I118" t="s">
        <v>1981</v>
      </c>
      <c r="J118" t="s">
        <v>1876</v>
      </c>
      <c r="K118" t="s">
        <v>1981</v>
      </c>
      <c r="L118" t="s">
        <v>1982</v>
      </c>
      <c r="M118" t="s">
        <v>918</v>
      </c>
      <c r="N118" t="s">
        <v>2003</v>
      </c>
      <c r="O118" t="s">
        <v>922</v>
      </c>
    </row>
    <row r="119" spans="1:15" x14ac:dyDescent="0.35">
      <c r="A119" t="s">
        <v>2029</v>
      </c>
      <c r="B119" t="s">
        <v>2030</v>
      </c>
      <c r="C119" t="s">
        <v>1981</v>
      </c>
      <c r="D119" t="s">
        <v>1876</v>
      </c>
      <c r="E119">
        <v>250</v>
      </c>
      <c r="F119" t="s">
        <v>958</v>
      </c>
      <c r="G119">
        <v>2024</v>
      </c>
      <c r="H119" t="s">
        <v>1981</v>
      </c>
      <c r="I119" t="s">
        <v>1981</v>
      </c>
      <c r="J119" t="s">
        <v>1876</v>
      </c>
      <c r="K119" t="s">
        <v>1981</v>
      </c>
      <c r="L119" t="s">
        <v>1982</v>
      </c>
      <c r="M119" t="s">
        <v>920</v>
      </c>
      <c r="N119" t="s">
        <v>1983</v>
      </c>
      <c r="O119" t="s">
        <v>922</v>
      </c>
    </row>
    <row r="120" spans="1:15" x14ac:dyDescent="0.35">
      <c r="A120" t="s">
        <v>2031</v>
      </c>
      <c r="B120" t="s">
        <v>2032</v>
      </c>
      <c r="C120" t="s">
        <v>1981</v>
      </c>
      <c r="D120" t="s">
        <v>1876</v>
      </c>
      <c r="E120">
        <v>250</v>
      </c>
      <c r="F120" t="s">
        <v>958</v>
      </c>
      <c r="G120">
        <v>2025</v>
      </c>
      <c r="H120" t="s">
        <v>1981</v>
      </c>
      <c r="I120" t="s">
        <v>1981</v>
      </c>
      <c r="J120" t="s">
        <v>1876</v>
      </c>
      <c r="K120" t="s">
        <v>1981</v>
      </c>
      <c r="L120" t="s">
        <v>1982</v>
      </c>
      <c r="M120" t="s">
        <v>920</v>
      </c>
      <c r="N120" t="s">
        <v>1983</v>
      </c>
      <c r="O120" t="s">
        <v>1994</v>
      </c>
    </row>
    <row r="121" spans="1:15" x14ac:dyDescent="0.35">
      <c r="A121" t="s">
        <v>2033</v>
      </c>
      <c r="B121" t="s">
        <v>2034</v>
      </c>
      <c r="C121" t="s">
        <v>1981</v>
      </c>
      <c r="D121" t="s">
        <v>1876</v>
      </c>
      <c r="E121">
        <v>250</v>
      </c>
      <c r="F121" t="s">
        <v>1006</v>
      </c>
      <c r="G121">
        <v>2024</v>
      </c>
      <c r="H121" t="s">
        <v>1981</v>
      </c>
      <c r="I121" t="s">
        <v>1981</v>
      </c>
      <c r="J121" t="s">
        <v>1876</v>
      </c>
      <c r="K121" t="s">
        <v>1981</v>
      </c>
      <c r="L121" t="s">
        <v>1982</v>
      </c>
      <c r="M121" t="s">
        <v>920</v>
      </c>
      <c r="N121" t="s">
        <v>2003</v>
      </c>
      <c r="O121" t="s">
        <v>922</v>
      </c>
    </row>
    <row r="122" spans="1:15" x14ac:dyDescent="0.35">
      <c r="A122" t="s">
        <v>2035</v>
      </c>
      <c r="B122" t="s">
        <v>2036</v>
      </c>
      <c r="C122" t="s">
        <v>1981</v>
      </c>
      <c r="D122" t="s">
        <v>1876</v>
      </c>
      <c r="E122">
        <v>250</v>
      </c>
      <c r="F122" t="s">
        <v>1006</v>
      </c>
      <c r="G122">
        <v>2025</v>
      </c>
      <c r="H122" t="s">
        <v>1981</v>
      </c>
      <c r="I122" t="s">
        <v>1981</v>
      </c>
      <c r="J122" t="s">
        <v>1876</v>
      </c>
      <c r="K122" t="s">
        <v>1981</v>
      </c>
      <c r="L122" t="s">
        <v>1982</v>
      </c>
      <c r="M122" t="s">
        <v>920</v>
      </c>
      <c r="N122" t="s">
        <v>2003</v>
      </c>
      <c r="O122" t="s">
        <v>2037</v>
      </c>
    </row>
    <row r="123" spans="1:15" x14ac:dyDescent="0.35">
      <c r="A123" t="s">
        <v>2038</v>
      </c>
      <c r="B123" t="s">
        <v>2039</v>
      </c>
      <c r="C123" t="s">
        <v>1981</v>
      </c>
      <c r="D123" t="s">
        <v>1876</v>
      </c>
      <c r="E123">
        <v>250</v>
      </c>
      <c r="F123" t="s">
        <v>958</v>
      </c>
      <c r="G123">
        <v>2021</v>
      </c>
      <c r="H123" t="s">
        <v>1981</v>
      </c>
      <c r="I123" t="s">
        <v>1981</v>
      </c>
      <c r="J123" t="s">
        <v>1876</v>
      </c>
      <c r="K123" t="s">
        <v>1981</v>
      </c>
      <c r="L123" t="s">
        <v>1982</v>
      </c>
      <c r="M123" t="s">
        <v>920</v>
      </c>
      <c r="N123" t="s">
        <v>1983</v>
      </c>
      <c r="O123" t="s">
        <v>922</v>
      </c>
    </row>
    <row r="124" spans="1:15" x14ac:dyDescent="0.35">
      <c r="A124" t="s">
        <v>2040</v>
      </c>
      <c r="B124" t="s">
        <v>2041</v>
      </c>
      <c r="C124" t="s">
        <v>1981</v>
      </c>
      <c r="D124" t="s">
        <v>1876</v>
      </c>
      <c r="E124">
        <v>250</v>
      </c>
      <c r="F124" t="s">
        <v>1903</v>
      </c>
      <c r="G124">
        <v>2022</v>
      </c>
      <c r="H124" t="s">
        <v>1981</v>
      </c>
      <c r="I124" t="s">
        <v>1981</v>
      </c>
      <c r="J124" t="s">
        <v>1876</v>
      </c>
      <c r="K124" t="s">
        <v>1981</v>
      </c>
      <c r="L124" t="s">
        <v>1982</v>
      </c>
      <c r="M124" t="s">
        <v>952</v>
      </c>
      <c r="N124" t="s">
        <v>2042</v>
      </c>
      <c r="O124" t="s">
        <v>922</v>
      </c>
    </row>
    <row r="125" spans="1:15" x14ac:dyDescent="0.35">
      <c r="A125" t="s">
        <v>2043</v>
      </c>
      <c r="B125" t="s">
        <v>2044</v>
      </c>
      <c r="C125" t="s">
        <v>1981</v>
      </c>
      <c r="D125" t="s">
        <v>1876</v>
      </c>
      <c r="E125">
        <v>250</v>
      </c>
      <c r="F125" t="s">
        <v>1458</v>
      </c>
      <c r="G125">
        <v>2022</v>
      </c>
      <c r="H125" t="s">
        <v>1981</v>
      </c>
      <c r="I125" t="s">
        <v>1981</v>
      </c>
      <c r="J125" t="s">
        <v>1876</v>
      </c>
      <c r="K125" t="s">
        <v>1981</v>
      </c>
      <c r="L125" t="s">
        <v>1982</v>
      </c>
      <c r="M125" t="s">
        <v>952</v>
      </c>
      <c r="N125" t="s">
        <v>2045</v>
      </c>
      <c r="O125" t="s">
        <v>922</v>
      </c>
    </row>
    <row r="126" spans="1:15" x14ac:dyDescent="0.35">
      <c r="A126" t="s">
        <v>2207</v>
      </c>
      <c r="B126" t="s">
        <v>2208</v>
      </c>
      <c r="C126" t="s">
        <v>1981</v>
      </c>
      <c r="D126" t="s">
        <v>1876</v>
      </c>
      <c r="E126">
        <v>250</v>
      </c>
      <c r="F126" t="s">
        <v>958</v>
      </c>
      <c r="G126">
        <v>2026</v>
      </c>
      <c r="H126" t="s">
        <v>1981</v>
      </c>
      <c r="I126" t="s">
        <v>1981</v>
      </c>
      <c r="J126" t="s">
        <v>1876</v>
      </c>
      <c r="K126" t="s">
        <v>1981</v>
      </c>
      <c r="L126" t="s">
        <v>1982</v>
      </c>
      <c r="M126" t="s">
        <v>920</v>
      </c>
      <c r="N126" t="s">
        <v>1983</v>
      </c>
      <c r="O126" t="s">
        <v>2037</v>
      </c>
    </row>
    <row r="127" spans="1:15" x14ac:dyDescent="0.35">
      <c r="A127" t="s">
        <v>2209</v>
      </c>
      <c r="B127" t="s">
        <v>2210</v>
      </c>
      <c r="C127" t="s">
        <v>1981</v>
      </c>
      <c r="D127" t="s">
        <v>1876</v>
      </c>
      <c r="E127">
        <v>250</v>
      </c>
      <c r="F127" t="s">
        <v>1006</v>
      </c>
      <c r="G127">
        <v>2026</v>
      </c>
      <c r="H127" t="s">
        <v>1981</v>
      </c>
      <c r="I127" t="s">
        <v>1981</v>
      </c>
      <c r="J127" t="s">
        <v>1876</v>
      </c>
      <c r="K127" t="s">
        <v>1981</v>
      </c>
      <c r="L127" t="s">
        <v>1982</v>
      </c>
      <c r="M127" t="s">
        <v>920</v>
      </c>
      <c r="N127" t="s">
        <v>2003</v>
      </c>
      <c r="O127" t="s">
        <v>1994</v>
      </c>
    </row>
    <row r="128" spans="1:15" x14ac:dyDescent="0.35">
      <c r="A128" t="s">
        <v>2329</v>
      </c>
      <c r="B128" t="s">
        <v>2330</v>
      </c>
      <c r="C128" t="s">
        <v>1981</v>
      </c>
      <c r="D128" t="s">
        <v>1876</v>
      </c>
      <c r="E128">
        <v>250</v>
      </c>
      <c r="F128" t="s">
        <v>958</v>
      </c>
      <c r="G128">
        <v>2026</v>
      </c>
      <c r="H128" t="s">
        <v>1981</v>
      </c>
      <c r="I128" t="s">
        <v>1981</v>
      </c>
      <c r="J128" t="s">
        <v>1876</v>
      </c>
      <c r="K128" t="s">
        <v>1981</v>
      </c>
      <c r="L128" t="s">
        <v>1982</v>
      </c>
      <c r="M128" t="s">
        <v>952</v>
      </c>
      <c r="N128" t="s">
        <v>1983</v>
      </c>
      <c r="O128" t="s">
        <v>2037</v>
      </c>
    </row>
    <row r="129" spans="1:15" x14ac:dyDescent="0.35">
      <c r="A129" t="s">
        <v>2331</v>
      </c>
      <c r="B129" t="s">
        <v>2332</v>
      </c>
      <c r="C129" t="s">
        <v>1981</v>
      </c>
      <c r="D129" t="s">
        <v>1876</v>
      </c>
      <c r="E129">
        <v>250</v>
      </c>
      <c r="F129" t="s">
        <v>1006</v>
      </c>
      <c r="G129">
        <v>2026</v>
      </c>
      <c r="H129" t="s">
        <v>1981</v>
      </c>
      <c r="I129" t="s">
        <v>1981</v>
      </c>
      <c r="J129" t="s">
        <v>1876</v>
      </c>
      <c r="K129" t="s">
        <v>1981</v>
      </c>
      <c r="L129" t="s">
        <v>1982</v>
      </c>
      <c r="M129" t="s">
        <v>952</v>
      </c>
      <c r="N129" t="s">
        <v>2003</v>
      </c>
      <c r="O129" t="s">
        <v>1994</v>
      </c>
    </row>
    <row r="130" spans="1:15" x14ac:dyDescent="0.35">
      <c r="A130" t="s">
        <v>2409</v>
      </c>
      <c r="B130" t="s">
        <v>2330</v>
      </c>
      <c r="C130" t="s">
        <v>1981</v>
      </c>
      <c r="D130" t="s">
        <v>1876</v>
      </c>
      <c r="E130">
        <v>250</v>
      </c>
      <c r="F130" t="s">
        <v>958</v>
      </c>
      <c r="G130">
        <v>2026</v>
      </c>
      <c r="H130" t="s">
        <v>1981</v>
      </c>
      <c r="I130" t="s">
        <v>1981</v>
      </c>
      <c r="J130" t="s">
        <v>1876</v>
      </c>
      <c r="K130" t="s">
        <v>1981</v>
      </c>
      <c r="L130" t="s">
        <v>1982</v>
      </c>
      <c r="M130" t="s">
        <v>918</v>
      </c>
      <c r="N130" t="s">
        <v>1983</v>
      </c>
      <c r="O130" t="s">
        <v>2037</v>
      </c>
    </row>
    <row r="131" spans="1:15" x14ac:dyDescent="0.35">
      <c r="A131" t="s">
        <v>2410</v>
      </c>
      <c r="B131" t="s">
        <v>2332</v>
      </c>
      <c r="C131" t="s">
        <v>1981</v>
      </c>
      <c r="D131" t="s">
        <v>1876</v>
      </c>
      <c r="E131">
        <v>250</v>
      </c>
      <c r="F131" t="s">
        <v>1006</v>
      </c>
      <c r="G131">
        <v>2026</v>
      </c>
      <c r="H131" t="s">
        <v>1981</v>
      </c>
      <c r="I131" t="s">
        <v>1981</v>
      </c>
      <c r="J131" t="s">
        <v>1876</v>
      </c>
      <c r="K131" t="s">
        <v>1981</v>
      </c>
      <c r="L131" t="s">
        <v>1982</v>
      </c>
      <c r="M131" t="s">
        <v>918</v>
      </c>
      <c r="N131" t="s">
        <v>2003</v>
      </c>
      <c r="O131" t="s">
        <v>1994</v>
      </c>
    </row>
    <row r="132" spans="1:15" x14ac:dyDescent="0.35">
      <c r="A132" t="s">
        <v>2431</v>
      </c>
      <c r="B132" t="s">
        <v>2330</v>
      </c>
      <c r="C132" t="s">
        <v>1981</v>
      </c>
      <c r="D132" t="s">
        <v>1876</v>
      </c>
      <c r="E132">
        <v>250</v>
      </c>
      <c r="F132" t="s">
        <v>958</v>
      </c>
      <c r="G132">
        <v>2026</v>
      </c>
      <c r="H132" t="s">
        <v>1981</v>
      </c>
      <c r="I132" t="s">
        <v>1981</v>
      </c>
      <c r="J132" t="s">
        <v>1876</v>
      </c>
      <c r="K132" t="s">
        <v>1981</v>
      </c>
      <c r="L132" t="s">
        <v>1982</v>
      </c>
      <c r="M132" t="s">
        <v>969</v>
      </c>
      <c r="N132" t="s">
        <v>1983</v>
      </c>
      <c r="O132" t="s">
        <v>2037</v>
      </c>
    </row>
    <row r="133" spans="1:15" x14ac:dyDescent="0.35">
      <c r="A133" t="s">
        <v>2432</v>
      </c>
      <c r="B133" t="s">
        <v>2332</v>
      </c>
      <c r="C133" t="s">
        <v>1981</v>
      </c>
      <c r="D133" t="s">
        <v>1876</v>
      </c>
      <c r="E133">
        <v>250</v>
      </c>
      <c r="F133" t="s">
        <v>1006</v>
      </c>
      <c r="G133">
        <v>2026</v>
      </c>
      <c r="H133" t="s">
        <v>1981</v>
      </c>
      <c r="I133" t="s">
        <v>1981</v>
      </c>
      <c r="J133" t="s">
        <v>1876</v>
      </c>
      <c r="K133" t="s">
        <v>1981</v>
      </c>
      <c r="L133" t="s">
        <v>1982</v>
      </c>
      <c r="M133" t="s">
        <v>969</v>
      </c>
      <c r="N133" t="s">
        <v>2003</v>
      </c>
      <c r="O133" t="s">
        <v>1994</v>
      </c>
    </row>
    <row r="134" spans="1:15" x14ac:dyDescent="0.35">
      <c r="A134" t="s">
        <v>1873</v>
      </c>
      <c r="B134" t="s">
        <v>1874</v>
      </c>
      <c r="C134" t="s">
        <v>1875</v>
      </c>
      <c r="D134" t="s">
        <v>1876</v>
      </c>
      <c r="E134">
        <v>400</v>
      </c>
      <c r="F134" t="s">
        <v>958</v>
      </c>
      <c r="G134">
        <v>2022</v>
      </c>
      <c r="H134" t="s">
        <v>1875</v>
      </c>
      <c r="I134" t="s">
        <v>1875</v>
      </c>
      <c r="J134" t="s">
        <v>1876</v>
      </c>
      <c r="K134" t="s">
        <v>1875</v>
      </c>
      <c r="L134" t="s">
        <v>1877</v>
      </c>
      <c r="M134" t="s">
        <v>952</v>
      </c>
      <c r="N134" t="s">
        <v>1878</v>
      </c>
      <c r="O134" t="s">
        <v>922</v>
      </c>
    </row>
    <row r="135" spans="1:15" x14ac:dyDescent="0.35">
      <c r="A135" t="s">
        <v>827</v>
      </c>
      <c r="B135" t="s">
        <v>1879</v>
      </c>
      <c r="C135" t="s">
        <v>1875</v>
      </c>
      <c r="D135" t="s">
        <v>1876</v>
      </c>
      <c r="E135">
        <v>400</v>
      </c>
      <c r="F135" t="s">
        <v>958</v>
      </c>
      <c r="G135">
        <v>2022</v>
      </c>
      <c r="H135" t="s">
        <v>1875</v>
      </c>
      <c r="I135" t="s">
        <v>1875</v>
      </c>
      <c r="J135" t="s">
        <v>1876</v>
      </c>
      <c r="K135" t="s">
        <v>1875</v>
      </c>
      <c r="L135" t="s">
        <v>1877</v>
      </c>
      <c r="M135" t="s">
        <v>918</v>
      </c>
      <c r="N135" t="s">
        <v>1878</v>
      </c>
      <c r="O135" t="s">
        <v>922</v>
      </c>
    </row>
    <row r="136" spans="1:15" x14ac:dyDescent="0.35">
      <c r="A136" t="s">
        <v>1880</v>
      </c>
      <c r="B136" t="s">
        <v>1881</v>
      </c>
      <c r="C136" t="s">
        <v>1875</v>
      </c>
      <c r="D136" t="s">
        <v>1876</v>
      </c>
      <c r="E136">
        <v>400</v>
      </c>
      <c r="F136" t="s">
        <v>958</v>
      </c>
      <c r="G136">
        <v>2023</v>
      </c>
      <c r="H136" t="s">
        <v>1875</v>
      </c>
      <c r="I136" t="s">
        <v>1875</v>
      </c>
      <c r="J136" t="s">
        <v>1876</v>
      </c>
      <c r="K136" t="s">
        <v>1875</v>
      </c>
      <c r="L136" t="s">
        <v>1877</v>
      </c>
      <c r="M136" t="s">
        <v>952</v>
      </c>
      <c r="N136" t="s">
        <v>1878</v>
      </c>
      <c r="O136" t="s">
        <v>922</v>
      </c>
    </row>
    <row r="137" spans="1:15" x14ac:dyDescent="0.35">
      <c r="A137" t="s">
        <v>1882</v>
      </c>
      <c r="B137" t="s">
        <v>1883</v>
      </c>
      <c r="C137" t="s">
        <v>1875</v>
      </c>
      <c r="D137" t="s">
        <v>1876</v>
      </c>
      <c r="E137">
        <v>400</v>
      </c>
      <c r="F137" t="s">
        <v>958</v>
      </c>
      <c r="G137">
        <v>2023</v>
      </c>
      <c r="H137" t="s">
        <v>1875</v>
      </c>
      <c r="I137" t="s">
        <v>1875</v>
      </c>
      <c r="J137" t="s">
        <v>1876</v>
      </c>
      <c r="K137" t="s">
        <v>1875</v>
      </c>
      <c r="L137" t="s">
        <v>1877</v>
      </c>
      <c r="M137" t="s">
        <v>969</v>
      </c>
      <c r="N137" t="s">
        <v>1878</v>
      </c>
      <c r="O137" t="s">
        <v>922</v>
      </c>
    </row>
    <row r="138" spans="1:15" x14ac:dyDescent="0.35">
      <c r="A138" t="s">
        <v>330</v>
      </c>
      <c r="B138" t="s">
        <v>1884</v>
      </c>
      <c r="C138" t="s">
        <v>1875</v>
      </c>
      <c r="D138" t="s">
        <v>1876</v>
      </c>
      <c r="E138">
        <v>400</v>
      </c>
      <c r="F138" t="s">
        <v>958</v>
      </c>
      <c r="G138">
        <v>2023</v>
      </c>
      <c r="H138" t="s">
        <v>1875</v>
      </c>
      <c r="I138" t="s">
        <v>1875</v>
      </c>
      <c r="J138" t="s">
        <v>1876</v>
      </c>
      <c r="K138" t="s">
        <v>1875</v>
      </c>
      <c r="L138" t="s">
        <v>1877</v>
      </c>
      <c r="M138" t="s">
        <v>918</v>
      </c>
      <c r="N138" t="s">
        <v>1878</v>
      </c>
      <c r="O138" t="s">
        <v>922</v>
      </c>
    </row>
    <row r="139" spans="1:15" x14ac:dyDescent="0.35">
      <c r="A139" t="s">
        <v>1885</v>
      </c>
      <c r="B139" t="s">
        <v>1886</v>
      </c>
      <c r="C139" t="s">
        <v>1875</v>
      </c>
      <c r="D139" t="s">
        <v>1876</v>
      </c>
      <c r="E139">
        <v>400</v>
      </c>
      <c r="F139" t="s">
        <v>958</v>
      </c>
      <c r="G139">
        <v>2024</v>
      </c>
      <c r="H139" t="s">
        <v>1875</v>
      </c>
      <c r="I139" t="s">
        <v>1875</v>
      </c>
      <c r="J139" t="s">
        <v>1876</v>
      </c>
      <c r="K139" t="s">
        <v>1875</v>
      </c>
      <c r="L139" t="s">
        <v>1877</v>
      </c>
      <c r="M139" t="s">
        <v>952</v>
      </c>
      <c r="N139" t="s">
        <v>1878</v>
      </c>
      <c r="O139" t="s">
        <v>922</v>
      </c>
    </row>
    <row r="140" spans="1:15" x14ac:dyDescent="0.35">
      <c r="A140" t="s">
        <v>1887</v>
      </c>
      <c r="B140" t="s">
        <v>1888</v>
      </c>
      <c r="C140" t="s">
        <v>1875</v>
      </c>
      <c r="D140" t="s">
        <v>1876</v>
      </c>
      <c r="E140">
        <v>400</v>
      </c>
      <c r="F140" t="s">
        <v>958</v>
      </c>
      <c r="G140">
        <v>2024</v>
      </c>
      <c r="H140" t="s">
        <v>1875</v>
      </c>
      <c r="I140" t="s">
        <v>1875</v>
      </c>
      <c r="J140" t="s">
        <v>1876</v>
      </c>
      <c r="K140" t="s">
        <v>1875</v>
      </c>
      <c r="L140" t="s">
        <v>1877</v>
      </c>
      <c r="M140" t="s">
        <v>969</v>
      </c>
      <c r="N140" t="s">
        <v>1878</v>
      </c>
      <c r="O140" t="s">
        <v>922</v>
      </c>
    </row>
    <row r="141" spans="1:15" x14ac:dyDescent="0.35">
      <c r="A141" t="s">
        <v>297</v>
      </c>
      <c r="B141" t="s">
        <v>1889</v>
      </c>
      <c r="C141" t="s">
        <v>1875</v>
      </c>
      <c r="D141" t="s">
        <v>1876</v>
      </c>
      <c r="E141">
        <v>400</v>
      </c>
      <c r="F141" t="s">
        <v>958</v>
      </c>
      <c r="G141">
        <v>2024</v>
      </c>
      <c r="H141" t="s">
        <v>1875</v>
      </c>
      <c r="I141" t="s">
        <v>1875</v>
      </c>
      <c r="J141" t="s">
        <v>1876</v>
      </c>
      <c r="K141" t="s">
        <v>1875</v>
      </c>
      <c r="L141" t="s">
        <v>1877</v>
      </c>
      <c r="M141" t="s">
        <v>918</v>
      </c>
      <c r="N141" t="s">
        <v>1878</v>
      </c>
      <c r="O141" t="s">
        <v>922</v>
      </c>
    </row>
    <row r="142" spans="1:15" x14ac:dyDescent="0.35">
      <c r="A142" t="s">
        <v>686</v>
      </c>
      <c r="B142" t="s">
        <v>1890</v>
      </c>
      <c r="C142" t="s">
        <v>1875</v>
      </c>
      <c r="D142" t="s">
        <v>1876</v>
      </c>
      <c r="E142">
        <v>400</v>
      </c>
      <c r="F142" t="s">
        <v>958</v>
      </c>
      <c r="G142">
        <v>2025</v>
      </c>
      <c r="H142" t="s">
        <v>1875</v>
      </c>
      <c r="I142" t="s">
        <v>1875</v>
      </c>
      <c r="J142" t="s">
        <v>1876</v>
      </c>
      <c r="K142" t="s">
        <v>1875</v>
      </c>
      <c r="L142" t="s">
        <v>1877</v>
      </c>
      <c r="M142" t="s">
        <v>952</v>
      </c>
      <c r="N142" t="s">
        <v>1878</v>
      </c>
      <c r="O142" t="s">
        <v>1891</v>
      </c>
    </row>
    <row r="143" spans="1:15" x14ac:dyDescent="0.35">
      <c r="A143" t="s">
        <v>1892</v>
      </c>
      <c r="B143" t="s">
        <v>1893</v>
      </c>
      <c r="C143" t="s">
        <v>1875</v>
      </c>
      <c r="D143" t="s">
        <v>1876</v>
      </c>
      <c r="E143">
        <v>400</v>
      </c>
      <c r="F143" t="s">
        <v>958</v>
      </c>
      <c r="G143">
        <v>2025</v>
      </c>
      <c r="H143" t="s">
        <v>1875</v>
      </c>
      <c r="I143" t="s">
        <v>1875</v>
      </c>
      <c r="J143" t="s">
        <v>1876</v>
      </c>
      <c r="K143" t="s">
        <v>1875</v>
      </c>
      <c r="L143" t="s">
        <v>1877</v>
      </c>
      <c r="M143" t="s">
        <v>969</v>
      </c>
      <c r="N143" t="s">
        <v>1878</v>
      </c>
      <c r="O143" t="s">
        <v>1891</v>
      </c>
    </row>
    <row r="144" spans="1:15" x14ac:dyDescent="0.35">
      <c r="A144" t="s">
        <v>258</v>
      </c>
      <c r="B144" t="s">
        <v>1894</v>
      </c>
      <c r="C144" t="s">
        <v>1875</v>
      </c>
      <c r="D144" t="s">
        <v>1876</v>
      </c>
      <c r="E144">
        <v>400</v>
      </c>
      <c r="F144" t="s">
        <v>958</v>
      </c>
      <c r="G144">
        <v>2025</v>
      </c>
      <c r="H144" t="s">
        <v>1875</v>
      </c>
      <c r="I144" t="s">
        <v>1875</v>
      </c>
      <c r="J144" t="s">
        <v>1876</v>
      </c>
      <c r="K144" t="s">
        <v>1875</v>
      </c>
      <c r="L144" t="s">
        <v>1877</v>
      </c>
      <c r="M144" t="s">
        <v>918</v>
      </c>
      <c r="N144" t="s">
        <v>1878</v>
      </c>
      <c r="O144" t="s">
        <v>1891</v>
      </c>
    </row>
    <row r="145" spans="1:15" x14ac:dyDescent="0.35">
      <c r="A145" t="s">
        <v>656</v>
      </c>
      <c r="B145" t="s">
        <v>1895</v>
      </c>
      <c r="C145" t="s">
        <v>1875</v>
      </c>
      <c r="D145" t="s">
        <v>1876</v>
      </c>
      <c r="E145">
        <v>400</v>
      </c>
      <c r="F145" t="s">
        <v>1006</v>
      </c>
      <c r="G145">
        <v>2025</v>
      </c>
      <c r="H145" t="s">
        <v>1875</v>
      </c>
      <c r="I145" t="s">
        <v>1875</v>
      </c>
      <c r="J145" t="s">
        <v>1876</v>
      </c>
      <c r="K145" t="s">
        <v>1875</v>
      </c>
      <c r="L145" t="s">
        <v>1877</v>
      </c>
      <c r="M145" t="s">
        <v>952</v>
      </c>
      <c r="N145" t="s">
        <v>1896</v>
      </c>
      <c r="O145" t="s">
        <v>1897</v>
      </c>
    </row>
    <row r="146" spans="1:15" x14ac:dyDescent="0.35">
      <c r="A146" t="s">
        <v>1898</v>
      </c>
      <c r="B146" t="s">
        <v>1899</v>
      </c>
      <c r="C146" t="s">
        <v>1875</v>
      </c>
      <c r="D146" t="s">
        <v>1876</v>
      </c>
      <c r="E146">
        <v>400</v>
      </c>
      <c r="F146" t="s">
        <v>1006</v>
      </c>
      <c r="G146">
        <v>2025</v>
      </c>
      <c r="H146" t="s">
        <v>1875</v>
      </c>
      <c r="I146" t="s">
        <v>1875</v>
      </c>
      <c r="J146" t="s">
        <v>1876</v>
      </c>
      <c r="K146" t="s">
        <v>1875</v>
      </c>
      <c r="L146" t="s">
        <v>1877</v>
      </c>
      <c r="M146" t="s">
        <v>969</v>
      </c>
      <c r="N146" t="s">
        <v>1896</v>
      </c>
      <c r="O146" t="s">
        <v>1897</v>
      </c>
    </row>
    <row r="147" spans="1:15" x14ac:dyDescent="0.35">
      <c r="A147" t="s">
        <v>370</v>
      </c>
      <c r="B147" t="s">
        <v>1900</v>
      </c>
      <c r="C147" t="s">
        <v>1875</v>
      </c>
      <c r="D147" t="s">
        <v>1876</v>
      </c>
      <c r="E147">
        <v>400</v>
      </c>
      <c r="F147" t="s">
        <v>1006</v>
      </c>
      <c r="G147">
        <v>2025</v>
      </c>
      <c r="H147" t="s">
        <v>1875</v>
      </c>
      <c r="I147" t="s">
        <v>1875</v>
      </c>
      <c r="J147" t="s">
        <v>1876</v>
      </c>
      <c r="K147" t="s">
        <v>1875</v>
      </c>
      <c r="L147" t="s">
        <v>1877</v>
      </c>
      <c r="M147" t="s">
        <v>918</v>
      </c>
      <c r="N147" t="s">
        <v>1896</v>
      </c>
      <c r="O147" t="s">
        <v>1897</v>
      </c>
    </row>
    <row r="148" spans="1:15" x14ac:dyDescent="0.35">
      <c r="A148" t="s">
        <v>1901</v>
      </c>
      <c r="B148" t="s">
        <v>1902</v>
      </c>
      <c r="C148" t="s">
        <v>1875</v>
      </c>
      <c r="D148" t="s">
        <v>1876</v>
      </c>
      <c r="E148">
        <v>400</v>
      </c>
      <c r="F148" t="s">
        <v>1903</v>
      </c>
      <c r="G148">
        <v>2022</v>
      </c>
      <c r="H148" t="s">
        <v>1875</v>
      </c>
      <c r="I148" t="s">
        <v>1875</v>
      </c>
      <c r="J148" t="s">
        <v>1876</v>
      </c>
      <c r="K148" t="s">
        <v>1875</v>
      </c>
      <c r="L148" t="s">
        <v>1877</v>
      </c>
      <c r="M148" t="s">
        <v>952</v>
      </c>
      <c r="N148" t="s">
        <v>1904</v>
      </c>
      <c r="O148" t="s">
        <v>922</v>
      </c>
    </row>
    <row r="149" spans="1:15" x14ac:dyDescent="0.35">
      <c r="A149" t="s">
        <v>809</v>
      </c>
      <c r="B149" t="s">
        <v>1905</v>
      </c>
      <c r="C149" t="s">
        <v>1875</v>
      </c>
      <c r="D149" t="s">
        <v>1876</v>
      </c>
      <c r="E149">
        <v>400</v>
      </c>
      <c r="F149" t="s">
        <v>1903</v>
      </c>
      <c r="G149">
        <v>2022</v>
      </c>
      <c r="H149" t="s">
        <v>1875</v>
      </c>
      <c r="I149" t="s">
        <v>1875</v>
      </c>
      <c r="J149" t="s">
        <v>1876</v>
      </c>
      <c r="K149" t="s">
        <v>1875</v>
      </c>
      <c r="L149" t="s">
        <v>1877</v>
      </c>
      <c r="M149" t="s">
        <v>918</v>
      </c>
      <c r="N149" t="s">
        <v>1904</v>
      </c>
      <c r="O149" t="s">
        <v>922</v>
      </c>
    </row>
    <row r="150" spans="1:15" x14ac:dyDescent="0.35">
      <c r="A150" t="s">
        <v>1906</v>
      </c>
      <c r="B150" t="s">
        <v>1907</v>
      </c>
      <c r="C150" t="s">
        <v>1875</v>
      </c>
      <c r="D150" t="s">
        <v>1876</v>
      </c>
      <c r="E150">
        <v>400</v>
      </c>
      <c r="F150" t="s">
        <v>1903</v>
      </c>
      <c r="G150">
        <v>2023</v>
      </c>
      <c r="H150" t="s">
        <v>1875</v>
      </c>
      <c r="I150" t="s">
        <v>1875</v>
      </c>
      <c r="J150" t="s">
        <v>1876</v>
      </c>
      <c r="K150" t="s">
        <v>1875</v>
      </c>
      <c r="L150" t="s">
        <v>1877</v>
      </c>
      <c r="M150" t="s">
        <v>952</v>
      </c>
      <c r="N150" t="s">
        <v>1904</v>
      </c>
      <c r="O150" t="s">
        <v>922</v>
      </c>
    </row>
    <row r="151" spans="1:15" x14ac:dyDescent="0.35">
      <c r="A151" t="s">
        <v>1908</v>
      </c>
      <c r="B151" t="s">
        <v>1909</v>
      </c>
      <c r="C151" t="s">
        <v>1875</v>
      </c>
      <c r="D151" t="s">
        <v>1876</v>
      </c>
      <c r="E151">
        <v>400</v>
      </c>
      <c r="F151" t="s">
        <v>1903</v>
      </c>
      <c r="G151">
        <v>2023</v>
      </c>
      <c r="H151" t="s">
        <v>1875</v>
      </c>
      <c r="I151" t="s">
        <v>1875</v>
      </c>
      <c r="J151" t="s">
        <v>1876</v>
      </c>
      <c r="K151" t="s">
        <v>1875</v>
      </c>
      <c r="L151" t="s">
        <v>1877</v>
      </c>
      <c r="M151" t="s">
        <v>969</v>
      </c>
      <c r="N151" t="s">
        <v>1904</v>
      </c>
      <c r="O151" t="s">
        <v>922</v>
      </c>
    </row>
    <row r="152" spans="1:15" x14ac:dyDescent="0.35">
      <c r="A152" t="s">
        <v>331</v>
      </c>
      <c r="B152" t="s">
        <v>1910</v>
      </c>
      <c r="C152" t="s">
        <v>1875</v>
      </c>
      <c r="D152" t="s">
        <v>1876</v>
      </c>
      <c r="E152">
        <v>400</v>
      </c>
      <c r="F152" t="s">
        <v>1903</v>
      </c>
      <c r="G152">
        <v>2023</v>
      </c>
      <c r="H152" t="s">
        <v>1875</v>
      </c>
      <c r="I152" t="s">
        <v>1875</v>
      </c>
      <c r="J152" t="s">
        <v>1876</v>
      </c>
      <c r="K152" t="s">
        <v>1875</v>
      </c>
      <c r="L152" t="s">
        <v>1877</v>
      </c>
      <c r="M152" t="s">
        <v>918</v>
      </c>
      <c r="N152" t="s">
        <v>1904</v>
      </c>
      <c r="O152" t="s">
        <v>922</v>
      </c>
    </row>
    <row r="153" spans="1:15" x14ac:dyDescent="0.35">
      <c r="A153" t="s">
        <v>1911</v>
      </c>
      <c r="B153" t="s">
        <v>1912</v>
      </c>
      <c r="C153" t="s">
        <v>1875</v>
      </c>
      <c r="D153" t="s">
        <v>1876</v>
      </c>
      <c r="E153">
        <v>400</v>
      </c>
      <c r="F153" t="s">
        <v>1903</v>
      </c>
      <c r="G153">
        <v>2024</v>
      </c>
      <c r="H153" t="s">
        <v>1875</v>
      </c>
      <c r="I153" t="s">
        <v>1875</v>
      </c>
      <c r="J153" t="s">
        <v>1876</v>
      </c>
      <c r="K153" t="s">
        <v>1875</v>
      </c>
      <c r="L153" t="s">
        <v>1877</v>
      </c>
      <c r="M153" t="s">
        <v>952</v>
      </c>
      <c r="N153" t="s">
        <v>1904</v>
      </c>
      <c r="O153" t="s">
        <v>922</v>
      </c>
    </row>
    <row r="154" spans="1:15" x14ac:dyDescent="0.35">
      <c r="A154" t="s">
        <v>1913</v>
      </c>
      <c r="B154" t="s">
        <v>1914</v>
      </c>
      <c r="C154" t="s">
        <v>1875</v>
      </c>
      <c r="D154" t="s">
        <v>1876</v>
      </c>
      <c r="E154">
        <v>400</v>
      </c>
      <c r="F154" t="s">
        <v>1903</v>
      </c>
      <c r="G154">
        <v>2024</v>
      </c>
      <c r="H154" t="s">
        <v>1875</v>
      </c>
      <c r="I154" t="s">
        <v>1875</v>
      </c>
      <c r="J154" t="s">
        <v>1876</v>
      </c>
      <c r="K154" t="s">
        <v>1875</v>
      </c>
      <c r="L154" t="s">
        <v>1877</v>
      </c>
      <c r="M154" t="s">
        <v>969</v>
      </c>
      <c r="N154" t="s">
        <v>1904</v>
      </c>
      <c r="O154" t="s">
        <v>922</v>
      </c>
    </row>
    <row r="155" spans="1:15" x14ac:dyDescent="0.35">
      <c r="A155" t="s">
        <v>347</v>
      </c>
      <c r="B155" t="s">
        <v>1915</v>
      </c>
      <c r="C155" t="s">
        <v>1875</v>
      </c>
      <c r="D155" t="s">
        <v>1876</v>
      </c>
      <c r="E155">
        <v>400</v>
      </c>
      <c r="F155" t="s">
        <v>1903</v>
      </c>
      <c r="G155">
        <v>2024</v>
      </c>
      <c r="H155" t="s">
        <v>1875</v>
      </c>
      <c r="I155" t="s">
        <v>1875</v>
      </c>
      <c r="J155" t="s">
        <v>1876</v>
      </c>
      <c r="K155" t="s">
        <v>1875</v>
      </c>
      <c r="L155" t="s">
        <v>1877</v>
      </c>
      <c r="M155" t="s">
        <v>918</v>
      </c>
      <c r="N155" t="s">
        <v>1904</v>
      </c>
      <c r="O155" t="s">
        <v>922</v>
      </c>
    </row>
    <row r="156" spans="1:15" x14ac:dyDescent="0.35">
      <c r="A156" t="s">
        <v>655</v>
      </c>
      <c r="B156" t="s">
        <v>1916</v>
      </c>
      <c r="C156" t="s">
        <v>1875</v>
      </c>
      <c r="D156" t="s">
        <v>1876</v>
      </c>
      <c r="E156">
        <v>400</v>
      </c>
      <c r="F156" t="s">
        <v>1903</v>
      </c>
      <c r="G156">
        <v>2025</v>
      </c>
      <c r="H156" t="s">
        <v>1875</v>
      </c>
      <c r="I156" t="s">
        <v>1875</v>
      </c>
      <c r="J156" t="s">
        <v>1876</v>
      </c>
      <c r="K156" t="s">
        <v>1875</v>
      </c>
      <c r="L156" t="s">
        <v>1877</v>
      </c>
      <c r="M156" t="s">
        <v>952</v>
      </c>
      <c r="N156" t="s">
        <v>1904</v>
      </c>
      <c r="O156" t="s">
        <v>1917</v>
      </c>
    </row>
    <row r="157" spans="1:15" x14ac:dyDescent="0.35">
      <c r="A157" t="s">
        <v>1918</v>
      </c>
      <c r="B157" t="s">
        <v>1919</v>
      </c>
      <c r="C157" t="s">
        <v>1875</v>
      </c>
      <c r="D157" t="s">
        <v>1876</v>
      </c>
      <c r="E157">
        <v>400</v>
      </c>
      <c r="F157" t="s">
        <v>1903</v>
      </c>
      <c r="G157">
        <v>2025</v>
      </c>
      <c r="H157" t="s">
        <v>1875</v>
      </c>
      <c r="I157" t="s">
        <v>1875</v>
      </c>
      <c r="J157" t="s">
        <v>1876</v>
      </c>
      <c r="K157" t="s">
        <v>1875</v>
      </c>
      <c r="L157" t="s">
        <v>1877</v>
      </c>
      <c r="M157" t="s">
        <v>969</v>
      </c>
      <c r="N157" t="s">
        <v>1904</v>
      </c>
      <c r="O157" t="s">
        <v>1917</v>
      </c>
    </row>
    <row r="158" spans="1:15" x14ac:dyDescent="0.35">
      <c r="A158" t="s">
        <v>261</v>
      </c>
      <c r="B158" t="s">
        <v>1920</v>
      </c>
      <c r="C158" t="s">
        <v>1875</v>
      </c>
      <c r="D158" t="s">
        <v>1876</v>
      </c>
      <c r="E158">
        <v>400</v>
      </c>
      <c r="F158" t="s">
        <v>1903</v>
      </c>
      <c r="G158">
        <v>2025</v>
      </c>
      <c r="H158" t="s">
        <v>1875</v>
      </c>
      <c r="I158" t="s">
        <v>1875</v>
      </c>
      <c r="J158" t="s">
        <v>1876</v>
      </c>
      <c r="K158" t="s">
        <v>1875</v>
      </c>
      <c r="L158" t="s">
        <v>1877</v>
      </c>
      <c r="M158" t="s">
        <v>918</v>
      </c>
      <c r="N158" t="s">
        <v>1904</v>
      </c>
      <c r="O158" t="s">
        <v>1917</v>
      </c>
    </row>
    <row r="159" spans="1:15" x14ac:dyDescent="0.35">
      <c r="A159" t="s">
        <v>1921</v>
      </c>
      <c r="B159" t="s">
        <v>1922</v>
      </c>
      <c r="C159" t="s">
        <v>1875</v>
      </c>
      <c r="D159" t="s">
        <v>1876</v>
      </c>
      <c r="E159">
        <v>400</v>
      </c>
      <c r="F159" t="s">
        <v>958</v>
      </c>
      <c r="G159">
        <v>2022</v>
      </c>
      <c r="H159" t="s">
        <v>1875</v>
      </c>
      <c r="I159" t="s">
        <v>1875</v>
      </c>
      <c r="J159" t="s">
        <v>1876</v>
      </c>
      <c r="K159" t="s">
        <v>1875</v>
      </c>
      <c r="L159" t="s">
        <v>1877</v>
      </c>
      <c r="M159" t="s">
        <v>952</v>
      </c>
      <c r="N159" t="s">
        <v>1878</v>
      </c>
      <c r="O159" t="s">
        <v>922</v>
      </c>
    </row>
    <row r="160" spans="1:15" x14ac:dyDescent="0.35">
      <c r="A160" t="s">
        <v>416</v>
      </c>
      <c r="B160" t="s">
        <v>92</v>
      </c>
      <c r="C160" t="s">
        <v>1875</v>
      </c>
      <c r="D160" t="s">
        <v>1876</v>
      </c>
      <c r="E160">
        <v>400</v>
      </c>
      <c r="F160" t="s">
        <v>958</v>
      </c>
      <c r="G160">
        <v>2022</v>
      </c>
      <c r="H160" t="s">
        <v>1875</v>
      </c>
      <c r="I160" t="s">
        <v>1875</v>
      </c>
      <c r="J160" t="s">
        <v>1876</v>
      </c>
      <c r="K160" t="s">
        <v>1875</v>
      </c>
      <c r="L160" t="s">
        <v>1877</v>
      </c>
      <c r="M160" t="s">
        <v>918</v>
      </c>
      <c r="N160" t="s">
        <v>1878</v>
      </c>
      <c r="O160" t="s">
        <v>922</v>
      </c>
    </row>
    <row r="161" spans="1:15" x14ac:dyDescent="0.35">
      <c r="A161" t="s">
        <v>1923</v>
      </c>
      <c r="B161" t="s">
        <v>1924</v>
      </c>
      <c r="C161" t="s">
        <v>1875</v>
      </c>
      <c r="D161" t="s">
        <v>1876</v>
      </c>
      <c r="E161">
        <v>400</v>
      </c>
      <c r="F161" t="s">
        <v>1903</v>
      </c>
      <c r="G161">
        <v>2022</v>
      </c>
      <c r="H161" t="s">
        <v>1875</v>
      </c>
      <c r="I161" t="s">
        <v>1875</v>
      </c>
      <c r="J161" t="s">
        <v>1876</v>
      </c>
      <c r="K161" t="s">
        <v>1875</v>
      </c>
      <c r="L161" t="s">
        <v>1877</v>
      </c>
      <c r="M161" t="s">
        <v>952</v>
      </c>
      <c r="N161" t="s">
        <v>1904</v>
      </c>
      <c r="O161" t="s">
        <v>922</v>
      </c>
    </row>
    <row r="162" spans="1:15" x14ac:dyDescent="0.35">
      <c r="A162" t="s">
        <v>1925</v>
      </c>
      <c r="B162" t="s">
        <v>1926</v>
      </c>
      <c r="C162" t="s">
        <v>1875</v>
      </c>
      <c r="D162" t="s">
        <v>1876</v>
      </c>
      <c r="E162">
        <v>400</v>
      </c>
      <c r="F162" t="s">
        <v>1903</v>
      </c>
      <c r="G162">
        <v>2022</v>
      </c>
      <c r="H162" t="s">
        <v>1875</v>
      </c>
      <c r="I162" t="s">
        <v>1875</v>
      </c>
      <c r="J162" t="s">
        <v>1876</v>
      </c>
      <c r="K162" t="s">
        <v>1875</v>
      </c>
      <c r="L162" t="s">
        <v>1877</v>
      </c>
      <c r="M162" t="s">
        <v>918</v>
      </c>
      <c r="N162" t="s">
        <v>1904</v>
      </c>
      <c r="O162" t="s">
        <v>922</v>
      </c>
    </row>
    <row r="163" spans="1:15" x14ac:dyDescent="0.35">
      <c r="A163" t="s">
        <v>1927</v>
      </c>
      <c r="B163" t="s">
        <v>1928</v>
      </c>
      <c r="C163" t="s">
        <v>1875</v>
      </c>
      <c r="D163" t="s">
        <v>1876</v>
      </c>
      <c r="E163">
        <v>400</v>
      </c>
      <c r="F163" t="s">
        <v>958</v>
      </c>
      <c r="G163">
        <v>2020</v>
      </c>
      <c r="H163" t="s">
        <v>1875</v>
      </c>
      <c r="I163" t="s">
        <v>1875</v>
      </c>
      <c r="J163" t="s">
        <v>1876</v>
      </c>
      <c r="K163" t="s">
        <v>1875</v>
      </c>
      <c r="L163" t="s">
        <v>1877</v>
      </c>
      <c r="M163" t="s">
        <v>952</v>
      </c>
      <c r="N163" t="s">
        <v>1878</v>
      </c>
      <c r="O163" t="s">
        <v>922</v>
      </c>
    </row>
    <row r="164" spans="1:15" x14ac:dyDescent="0.35">
      <c r="A164" t="s">
        <v>877</v>
      </c>
      <c r="B164" t="s">
        <v>1929</v>
      </c>
      <c r="C164" t="s">
        <v>1875</v>
      </c>
      <c r="D164" t="s">
        <v>1876</v>
      </c>
      <c r="E164">
        <v>400</v>
      </c>
      <c r="F164" t="s">
        <v>958</v>
      </c>
      <c r="G164">
        <v>2020</v>
      </c>
      <c r="H164" t="s">
        <v>1875</v>
      </c>
      <c r="I164" t="s">
        <v>1875</v>
      </c>
      <c r="J164" t="s">
        <v>1876</v>
      </c>
      <c r="K164" t="s">
        <v>1875</v>
      </c>
      <c r="L164" t="s">
        <v>1877</v>
      </c>
      <c r="M164" t="s">
        <v>918</v>
      </c>
      <c r="N164" t="s">
        <v>1878</v>
      </c>
      <c r="O164" t="s">
        <v>922</v>
      </c>
    </row>
    <row r="165" spans="1:15" x14ac:dyDescent="0.35">
      <c r="A165" t="s">
        <v>1930</v>
      </c>
      <c r="B165" t="s">
        <v>1931</v>
      </c>
      <c r="C165" t="s">
        <v>1875</v>
      </c>
      <c r="D165" t="s">
        <v>1876</v>
      </c>
      <c r="E165">
        <v>400</v>
      </c>
      <c r="F165" t="s">
        <v>958</v>
      </c>
      <c r="G165">
        <v>2021</v>
      </c>
      <c r="H165" t="s">
        <v>1875</v>
      </c>
      <c r="I165" t="s">
        <v>1875</v>
      </c>
      <c r="J165" t="s">
        <v>1876</v>
      </c>
      <c r="K165" t="s">
        <v>1875</v>
      </c>
      <c r="L165" t="s">
        <v>1877</v>
      </c>
      <c r="M165" t="s">
        <v>952</v>
      </c>
      <c r="N165" t="s">
        <v>1878</v>
      </c>
      <c r="O165" t="s">
        <v>922</v>
      </c>
    </row>
    <row r="166" spans="1:15" x14ac:dyDescent="0.35">
      <c r="A166" t="s">
        <v>829</v>
      </c>
      <c r="B166" t="s">
        <v>1932</v>
      </c>
      <c r="C166" t="s">
        <v>1875</v>
      </c>
      <c r="D166" t="s">
        <v>1876</v>
      </c>
      <c r="E166">
        <v>400</v>
      </c>
      <c r="F166" t="s">
        <v>958</v>
      </c>
      <c r="G166">
        <v>2021</v>
      </c>
      <c r="H166" t="s">
        <v>1875</v>
      </c>
      <c r="I166" t="s">
        <v>1875</v>
      </c>
      <c r="J166" t="s">
        <v>1876</v>
      </c>
      <c r="K166" t="s">
        <v>1875</v>
      </c>
      <c r="L166" t="s">
        <v>1877</v>
      </c>
      <c r="M166" t="s">
        <v>918</v>
      </c>
      <c r="N166" t="s">
        <v>1878</v>
      </c>
      <c r="O166" t="s">
        <v>922</v>
      </c>
    </row>
    <row r="167" spans="1:15" x14ac:dyDescent="0.35">
      <c r="A167" t="s">
        <v>378</v>
      </c>
      <c r="B167" t="s">
        <v>1933</v>
      </c>
      <c r="C167" t="s">
        <v>1875</v>
      </c>
      <c r="D167" t="s">
        <v>1876</v>
      </c>
      <c r="E167">
        <v>400</v>
      </c>
      <c r="F167" t="s">
        <v>958</v>
      </c>
      <c r="G167">
        <v>2022</v>
      </c>
      <c r="H167" t="s">
        <v>1875</v>
      </c>
      <c r="I167" t="s">
        <v>1875</v>
      </c>
      <c r="J167" t="s">
        <v>1876</v>
      </c>
      <c r="K167" t="s">
        <v>1875</v>
      </c>
      <c r="L167" t="s">
        <v>1877</v>
      </c>
      <c r="M167" t="s">
        <v>918</v>
      </c>
      <c r="N167" t="s">
        <v>1878</v>
      </c>
      <c r="O167" t="s">
        <v>922</v>
      </c>
    </row>
    <row r="168" spans="1:15" x14ac:dyDescent="0.35">
      <c r="A168" t="s">
        <v>1934</v>
      </c>
      <c r="B168" t="s">
        <v>1935</v>
      </c>
      <c r="C168" t="s">
        <v>1875</v>
      </c>
      <c r="D168" t="s">
        <v>1876</v>
      </c>
      <c r="E168">
        <v>400</v>
      </c>
      <c r="F168" t="s">
        <v>1903</v>
      </c>
      <c r="G168">
        <v>2020</v>
      </c>
      <c r="H168" t="s">
        <v>1875</v>
      </c>
      <c r="I168" t="s">
        <v>1875</v>
      </c>
      <c r="J168" t="s">
        <v>1876</v>
      </c>
      <c r="K168" t="s">
        <v>1875</v>
      </c>
      <c r="L168" t="s">
        <v>1877</v>
      </c>
      <c r="M168" t="s">
        <v>952</v>
      </c>
      <c r="N168" t="s">
        <v>1904</v>
      </c>
      <c r="O168" t="s">
        <v>922</v>
      </c>
    </row>
    <row r="169" spans="1:15" x14ac:dyDescent="0.35">
      <c r="A169" t="s">
        <v>1936</v>
      </c>
      <c r="B169" t="s">
        <v>1937</v>
      </c>
      <c r="C169" t="s">
        <v>1875</v>
      </c>
      <c r="D169" t="s">
        <v>1876</v>
      </c>
      <c r="E169">
        <v>400</v>
      </c>
      <c r="F169" t="s">
        <v>1903</v>
      </c>
      <c r="G169">
        <v>2020</v>
      </c>
      <c r="H169" t="s">
        <v>1875</v>
      </c>
      <c r="I169" t="s">
        <v>1875</v>
      </c>
      <c r="J169" t="s">
        <v>1876</v>
      </c>
      <c r="K169" t="s">
        <v>1875</v>
      </c>
      <c r="L169" t="s">
        <v>1877</v>
      </c>
      <c r="M169" t="s">
        <v>918</v>
      </c>
      <c r="N169" t="s">
        <v>1904</v>
      </c>
      <c r="O169" t="s">
        <v>922</v>
      </c>
    </row>
    <row r="170" spans="1:15" x14ac:dyDescent="0.35">
      <c r="A170" t="s">
        <v>1938</v>
      </c>
      <c r="B170" t="s">
        <v>1939</v>
      </c>
      <c r="C170" t="s">
        <v>1875</v>
      </c>
      <c r="D170" t="s">
        <v>1876</v>
      </c>
      <c r="E170">
        <v>400</v>
      </c>
      <c r="F170" t="s">
        <v>1903</v>
      </c>
      <c r="G170">
        <v>2021</v>
      </c>
      <c r="H170" t="s">
        <v>1875</v>
      </c>
      <c r="I170" t="s">
        <v>1875</v>
      </c>
      <c r="J170" t="s">
        <v>1876</v>
      </c>
      <c r="K170" t="s">
        <v>1875</v>
      </c>
      <c r="L170" t="s">
        <v>1877</v>
      </c>
      <c r="M170" t="s">
        <v>952</v>
      </c>
      <c r="N170" t="s">
        <v>1904</v>
      </c>
      <c r="O170" t="s">
        <v>922</v>
      </c>
    </row>
    <row r="171" spans="1:15" x14ac:dyDescent="0.35">
      <c r="A171" t="s">
        <v>831</v>
      </c>
      <c r="B171" t="s">
        <v>1940</v>
      </c>
      <c r="C171" t="s">
        <v>1875</v>
      </c>
      <c r="D171" t="s">
        <v>1876</v>
      </c>
      <c r="E171">
        <v>400</v>
      </c>
      <c r="F171" t="s">
        <v>1903</v>
      </c>
      <c r="G171">
        <v>2021</v>
      </c>
      <c r="H171" t="s">
        <v>1875</v>
      </c>
      <c r="I171" t="s">
        <v>1875</v>
      </c>
      <c r="J171" t="s">
        <v>1876</v>
      </c>
      <c r="K171" t="s">
        <v>1875</v>
      </c>
      <c r="L171" t="s">
        <v>1877</v>
      </c>
      <c r="M171" t="s">
        <v>918</v>
      </c>
      <c r="N171" t="s">
        <v>1904</v>
      </c>
      <c r="O171" t="s">
        <v>922</v>
      </c>
    </row>
    <row r="172" spans="1:15" x14ac:dyDescent="0.35">
      <c r="A172" t="s">
        <v>1941</v>
      </c>
      <c r="B172" t="s">
        <v>1942</v>
      </c>
      <c r="C172" t="s">
        <v>1875</v>
      </c>
      <c r="D172" t="s">
        <v>1876</v>
      </c>
      <c r="E172">
        <v>400</v>
      </c>
      <c r="F172" t="s">
        <v>1903</v>
      </c>
      <c r="G172">
        <v>2022</v>
      </c>
      <c r="H172" t="s">
        <v>1875</v>
      </c>
      <c r="I172" t="s">
        <v>1875</v>
      </c>
      <c r="J172" t="s">
        <v>1876</v>
      </c>
      <c r="K172" t="s">
        <v>1875</v>
      </c>
      <c r="L172" t="s">
        <v>1877</v>
      </c>
      <c r="M172" t="s">
        <v>952</v>
      </c>
      <c r="N172" t="s">
        <v>1904</v>
      </c>
      <c r="O172" t="s">
        <v>922</v>
      </c>
    </row>
    <row r="173" spans="1:15" x14ac:dyDescent="0.35">
      <c r="A173" t="s">
        <v>832</v>
      </c>
      <c r="B173" t="s">
        <v>1943</v>
      </c>
      <c r="C173" t="s">
        <v>1875</v>
      </c>
      <c r="D173" t="s">
        <v>1876</v>
      </c>
      <c r="E173">
        <v>400</v>
      </c>
      <c r="F173" t="s">
        <v>1903</v>
      </c>
      <c r="G173">
        <v>2022</v>
      </c>
      <c r="H173" t="s">
        <v>1875</v>
      </c>
      <c r="I173" t="s">
        <v>1875</v>
      </c>
      <c r="J173" t="s">
        <v>1876</v>
      </c>
      <c r="K173" t="s">
        <v>1875</v>
      </c>
      <c r="L173" t="s">
        <v>1877</v>
      </c>
      <c r="M173" t="s">
        <v>918</v>
      </c>
      <c r="N173" t="s">
        <v>1904</v>
      </c>
      <c r="O173" t="s">
        <v>922</v>
      </c>
    </row>
    <row r="174" spans="1:15" x14ac:dyDescent="0.35">
      <c r="A174" t="s">
        <v>1944</v>
      </c>
      <c r="B174" t="s">
        <v>1945</v>
      </c>
      <c r="C174" t="s">
        <v>1875</v>
      </c>
      <c r="D174" t="s">
        <v>1876</v>
      </c>
      <c r="E174">
        <v>400</v>
      </c>
      <c r="F174" t="s">
        <v>958</v>
      </c>
      <c r="G174">
        <v>2024</v>
      </c>
      <c r="H174" t="s">
        <v>1875</v>
      </c>
      <c r="I174" t="s">
        <v>1875</v>
      </c>
      <c r="J174" t="s">
        <v>1876</v>
      </c>
      <c r="K174" t="s">
        <v>1875</v>
      </c>
      <c r="L174" t="s">
        <v>1877</v>
      </c>
      <c r="M174" t="s">
        <v>920</v>
      </c>
      <c r="N174" t="s">
        <v>1878</v>
      </c>
      <c r="O174" t="s">
        <v>922</v>
      </c>
    </row>
    <row r="175" spans="1:15" x14ac:dyDescent="0.35">
      <c r="A175" t="s">
        <v>1946</v>
      </c>
      <c r="B175" t="s">
        <v>1947</v>
      </c>
      <c r="C175" t="s">
        <v>1875</v>
      </c>
      <c r="D175" t="s">
        <v>1876</v>
      </c>
      <c r="E175">
        <v>400</v>
      </c>
      <c r="F175" t="s">
        <v>958</v>
      </c>
      <c r="G175">
        <v>2025</v>
      </c>
      <c r="H175" t="s">
        <v>1875</v>
      </c>
      <c r="I175" t="s">
        <v>1875</v>
      </c>
      <c r="J175" t="s">
        <v>1876</v>
      </c>
      <c r="K175" t="s">
        <v>1875</v>
      </c>
      <c r="L175" t="s">
        <v>1877</v>
      </c>
      <c r="M175" t="s">
        <v>920</v>
      </c>
      <c r="N175" t="s">
        <v>1878</v>
      </c>
      <c r="O175" t="s">
        <v>1891</v>
      </c>
    </row>
    <row r="176" spans="1:15" x14ac:dyDescent="0.35">
      <c r="A176" t="s">
        <v>1948</v>
      </c>
      <c r="B176" t="s">
        <v>1949</v>
      </c>
      <c r="C176" t="s">
        <v>1875</v>
      </c>
      <c r="D176" t="s">
        <v>1876</v>
      </c>
      <c r="E176">
        <v>400</v>
      </c>
      <c r="F176" t="s">
        <v>1006</v>
      </c>
      <c r="G176">
        <v>2025</v>
      </c>
      <c r="H176" t="s">
        <v>1875</v>
      </c>
      <c r="I176" t="s">
        <v>1875</v>
      </c>
      <c r="J176" t="s">
        <v>1876</v>
      </c>
      <c r="K176" t="s">
        <v>1875</v>
      </c>
      <c r="L176" t="s">
        <v>1877</v>
      </c>
      <c r="M176" t="s">
        <v>920</v>
      </c>
      <c r="N176" t="s">
        <v>1896</v>
      </c>
      <c r="O176" t="s">
        <v>1897</v>
      </c>
    </row>
    <row r="177" spans="1:15" x14ac:dyDescent="0.35">
      <c r="A177" t="s">
        <v>1950</v>
      </c>
      <c r="B177" t="s">
        <v>1951</v>
      </c>
      <c r="C177" t="s">
        <v>1875</v>
      </c>
      <c r="D177" t="s">
        <v>1876</v>
      </c>
      <c r="E177">
        <v>400</v>
      </c>
      <c r="F177" t="s">
        <v>1903</v>
      </c>
      <c r="G177">
        <v>2023</v>
      </c>
      <c r="H177" t="s">
        <v>1875</v>
      </c>
      <c r="I177" t="s">
        <v>1875</v>
      </c>
      <c r="J177" t="s">
        <v>1876</v>
      </c>
      <c r="K177" t="s">
        <v>1875</v>
      </c>
      <c r="L177" t="s">
        <v>1877</v>
      </c>
      <c r="M177" t="s">
        <v>920</v>
      </c>
      <c r="N177" t="s">
        <v>1904</v>
      </c>
      <c r="O177" t="s">
        <v>922</v>
      </c>
    </row>
    <row r="178" spans="1:15" x14ac:dyDescent="0.35">
      <c r="A178" t="s">
        <v>1952</v>
      </c>
      <c r="B178" t="s">
        <v>1953</v>
      </c>
      <c r="C178" t="s">
        <v>1875</v>
      </c>
      <c r="D178" t="s">
        <v>1876</v>
      </c>
      <c r="E178">
        <v>400</v>
      </c>
      <c r="F178" t="s">
        <v>1903</v>
      </c>
      <c r="G178">
        <v>2024</v>
      </c>
      <c r="H178" t="s">
        <v>1875</v>
      </c>
      <c r="I178" t="s">
        <v>1875</v>
      </c>
      <c r="J178" t="s">
        <v>1876</v>
      </c>
      <c r="K178" t="s">
        <v>1875</v>
      </c>
      <c r="L178" t="s">
        <v>1877</v>
      </c>
      <c r="M178" t="s">
        <v>920</v>
      </c>
      <c r="N178" t="s">
        <v>1904</v>
      </c>
      <c r="O178" t="s">
        <v>922</v>
      </c>
    </row>
    <row r="179" spans="1:15" x14ac:dyDescent="0.35">
      <c r="A179" t="s">
        <v>1954</v>
      </c>
      <c r="B179" t="s">
        <v>1955</v>
      </c>
      <c r="C179" t="s">
        <v>1875</v>
      </c>
      <c r="D179" t="s">
        <v>1876</v>
      </c>
      <c r="E179">
        <v>400</v>
      </c>
      <c r="F179" t="s">
        <v>1903</v>
      </c>
      <c r="G179">
        <v>2025</v>
      </c>
      <c r="H179" t="s">
        <v>1875</v>
      </c>
      <c r="I179" t="s">
        <v>1875</v>
      </c>
      <c r="J179" t="s">
        <v>1876</v>
      </c>
      <c r="K179" t="s">
        <v>1875</v>
      </c>
      <c r="L179" t="s">
        <v>1877</v>
      </c>
      <c r="M179" t="s">
        <v>920</v>
      </c>
      <c r="N179" t="s">
        <v>1904</v>
      </c>
      <c r="O179" t="s">
        <v>1917</v>
      </c>
    </row>
    <row r="180" spans="1:15" x14ac:dyDescent="0.35">
      <c r="A180" t="s">
        <v>1956</v>
      </c>
      <c r="B180" t="s">
        <v>1957</v>
      </c>
      <c r="C180" t="s">
        <v>1875</v>
      </c>
      <c r="D180" t="s">
        <v>1876</v>
      </c>
      <c r="E180">
        <v>400</v>
      </c>
      <c r="F180" t="s">
        <v>951</v>
      </c>
      <c r="G180">
        <v>2019</v>
      </c>
      <c r="H180" t="s">
        <v>1875</v>
      </c>
      <c r="I180" t="s">
        <v>1875</v>
      </c>
      <c r="J180" t="s">
        <v>1876</v>
      </c>
      <c r="K180" t="s">
        <v>1875</v>
      </c>
      <c r="L180" t="s">
        <v>1877</v>
      </c>
      <c r="M180" t="s">
        <v>918</v>
      </c>
      <c r="N180" t="s">
        <v>1958</v>
      </c>
      <c r="O180" t="s">
        <v>922</v>
      </c>
    </row>
    <row r="181" spans="1:15" x14ac:dyDescent="0.35">
      <c r="A181" t="s">
        <v>828</v>
      </c>
      <c r="B181" t="s">
        <v>1959</v>
      </c>
      <c r="C181" t="s">
        <v>1875</v>
      </c>
      <c r="D181" t="s">
        <v>1876</v>
      </c>
      <c r="E181">
        <v>400</v>
      </c>
      <c r="F181" t="s">
        <v>958</v>
      </c>
      <c r="G181">
        <v>2019</v>
      </c>
      <c r="H181" t="s">
        <v>1875</v>
      </c>
      <c r="I181" t="s">
        <v>1875</v>
      </c>
      <c r="J181" t="s">
        <v>1876</v>
      </c>
      <c r="K181" t="s">
        <v>1875</v>
      </c>
      <c r="L181" t="s">
        <v>1877</v>
      </c>
      <c r="M181" t="s">
        <v>918</v>
      </c>
      <c r="N181" t="s">
        <v>1878</v>
      </c>
      <c r="O181" t="s">
        <v>922</v>
      </c>
    </row>
    <row r="182" spans="1:15" x14ac:dyDescent="0.35">
      <c r="A182" t="s">
        <v>1960</v>
      </c>
      <c r="B182" t="s">
        <v>1961</v>
      </c>
      <c r="C182" t="s">
        <v>1875</v>
      </c>
      <c r="D182" t="s">
        <v>1876</v>
      </c>
      <c r="E182">
        <v>400</v>
      </c>
      <c r="F182" t="s">
        <v>1006</v>
      </c>
      <c r="G182">
        <v>2019</v>
      </c>
      <c r="H182" t="s">
        <v>1875</v>
      </c>
      <c r="I182" t="s">
        <v>1875</v>
      </c>
      <c r="J182" t="s">
        <v>1876</v>
      </c>
      <c r="K182" t="s">
        <v>1875</v>
      </c>
      <c r="L182" t="s">
        <v>1877</v>
      </c>
      <c r="M182" t="s">
        <v>918</v>
      </c>
      <c r="N182" t="s">
        <v>1896</v>
      </c>
      <c r="O182" t="s">
        <v>922</v>
      </c>
    </row>
    <row r="183" spans="1:15" x14ac:dyDescent="0.35">
      <c r="A183" t="s">
        <v>830</v>
      </c>
      <c r="B183" t="s">
        <v>1962</v>
      </c>
      <c r="C183" t="s">
        <v>1875</v>
      </c>
      <c r="D183" t="s">
        <v>1876</v>
      </c>
      <c r="E183">
        <v>400</v>
      </c>
      <c r="F183" t="s">
        <v>1903</v>
      </c>
      <c r="G183">
        <v>2019</v>
      </c>
      <c r="H183" t="s">
        <v>1875</v>
      </c>
      <c r="I183" t="s">
        <v>1875</v>
      </c>
      <c r="J183" t="s">
        <v>1876</v>
      </c>
      <c r="K183" t="s">
        <v>1875</v>
      </c>
      <c r="L183" t="s">
        <v>1877</v>
      </c>
      <c r="M183" t="s">
        <v>918</v>
      </c>
      <c r="N183" t="s">
        <v>1904</v>
      </c>
      <c r="O183" t="s">
        <v>922</v>
      </c>
    </row>
    <row r="184" spans="1:15" x14ac:dyDescent="0.35">
      <c r="A184" t="s">
        <v>1963</v>
      </c>
      <c r="B184" t="s">
        <v>1964</v>
      </c>
      <c r="C184" t="s">
        <v>1875</v>
      </c>
      <c r="D184" t="s">
        <v>1876</v>
      </c>
      <c r="E184">
        <v>400</v>
      </c>
      <c r="F184" t="s">
        <v>1965</v>
      </c>
      <c r="G184">
        <v>2025</v>
      </c>
      <c r="H184" t="s">
        <v>1875</v>
      </c>
      <c r="I184" t="s">
        <v>1875</v>
      </c>
      <c r="J184" t="s">
        <v>1876</v>
      </c>
      <c r="K184" t="s">
        <v>1875</v>
      </c>
      <c r="L184" t="s">
        <v>1877</v>
      </c>
      <c r="M184" t="s">
        <v>952</v>
      </c>
      <c r="N184" t="s">
        <v>1966</v>
      </c>
      <c r="O184" t="s">
        <v>922</v>
      </c>
    </row>
    <row r="185" spans="1:15" x14ac:dyDescent="0.35">
      <c r="A185" t="s">
        <v>1967</v>
      </c>
      <c r="B185" t="s">
        <v>1968</v>
      </c>
      <c r="C185" t="s">
        <v>1875</v>
      </c>
      <c r="D185" t="s">
        <v>1876</v>
      </c>
      <c r="E185">
        <v>400</v>
      </c>
      <c r="F185" t="s">
        <v>1969</v>
      </c>
      <c r="G185">
        <v>2025</v>
      </c>
      <c r="H185" t="s">
        <v>1875</v>
      </c>
      <c r="I185" t="s">
        <v>1875</v>
      </c>
      <c r="J185" t="s">
        <v>1876</v>
      </c>
      <c r="K185" t="s">
        <v>1875</v>
      </c>
      <c r="L185" t="s">
        <v>1877</v>
      </c>
      <c r="M185" t="s">
        <v>952</v>
      </c>
      <c r="N185" t="s">
        <v>1970</v>
      </c>
      <c r="O185" t="s">
        <v>922</v>
      </c>
    </row>
    <row r="186" spans="1:15" x14ac:dyDescent="0.35">
      <c r="A186" t="s">
        <v>1971</v>
      </c>
      <c r="B186" t="s">
        <v>1972</v>
      </c>
      <c r="C186" t="s">
        <v>1875</v>
      </c>
      <c r="D186" t="s">
        <v>1876</v>
      </c>
      <c r="E186">
        <v>400</v>
      </c>
      <c r="F186" t="s">
        <v>1973</v>
      </c>
      <c r="G186">
        <v>2025</v>
      </c>
      <c r="H186" t="s">
        <v>1875</v>
      </c>
      <c r="I186" t="s">
        <v>1875</v>
      </c>
      <c r="J186" t="s">
        <v>1876</v>
      </c>
      <c r="K186" t="s">
        <v>1875</v>
      </c>
      <c r="L186" t="s">
        <v>1877</v>
      </c>
      <c r="M186" t="s">
        <v>952</v>
      </c>
      <c r="N186" t="s">
        <v>1974</v>
      </c>
      <c r="O186" t="s">
        <v>922</v>
      </c>
    </row>
    <row r="187" spans="1:15" x14ac:dyDescent="0.35">
      <c r="A187" t="s">
        <v>1975</v>
      </c>
      <c r="B187" t="s">
        <v>1976</v>
      </c>
      <c r="C187" t="s">
        <v>1875</v>
      </c>
      <c r="D187" t="s">
        <v>1876</v>
      </c>
      <c r="E187">
        <v>400</v>
      </c>
      <c r="F187" t="s">
        <v>1977</v>
      </c>
      <c r="G187">
        <v>2025</v>
      </c>
      <c r="H187" t="s">
        <v>1875</v>
      </c>
      <c r="I187" t="s">
        <v>1875</v>
      </c>
      <c r="J187" t="s">
        <v>1876</v>
      </c>
      <c r="K187" t="s">
        <v>1875</v>
      </c>
      <c r="L187" t="s">
        <v>1877</v>
      </c>
      <c r="M187" t="s">
        <v>952</v>
      </c>
      <c r="N187" t="s">
        <v>1978</v>
      </c>
      <c r="O187" t="s">
        <v>922</v>
      </c>
    </row>
    <row r="188" spans="1:15" x14ac:dyDescent="0.35">
      <c r="A188" t="s">
        <v>2198</v>
      </c>
      <c r="B188" t="s">
        <v>2199</v>
      </c>
      <c r="C188" t="s">
        <v>1875</v>
      </c>
      <c r="D188" t="s">
        <v>1876</v>
      </c>
      <c r="E188">
        <v>400</v>
      </c>
      <c r="F188" t="s">
        <v>958</v>
      </c>
      <c r="G188">
        <v>2026</v>
      </c>
      <c r="H188" t="s">
        <v>1875</v>
      </c>
      <c r="I188" t="s">
        <v>1875</v>
      </c>
      <c r="J188" t="s">
        <v>1876</v>
      </c>
      <c r="K188" t="s">
        <v>1875</v>
      </c>
      <c r="L188" t="s">
        <v>1877</v>
      </c>
      <c r="M188" t="s">
        <v>920</v>
      </c>
      <c r="N188" t="s">
        <v>1878</v>
      </c>
      <c r="O188" t="s">
        <v>2200</v>
      </c>
    </row>
    <row r="189" spans="1:15" x14ac:dyDescent="0.35">
      <c r="A189" t="s">
        <v>2201</v>
      </c>
      <c r="B189" t="s">
        <v>2202</v>
      </c>
      <c r="C189" t="s">
        <v>1875</v>
      </c>
      <c r="D189" t="s">
        <v>1876</v>
      </c>
      <c r="E189">
        <v>400</v>
      </c>
      <c r="F189" t="s">
        <v>1006</v>
      </c>
      <c r="G189">
        <v>2026</v>
      </c>
      <c r="H189" t="s">
        <v>1875</v>
      </c>
      <c r="I189" t="s">
        <v>1875</v>
      </c>
      <c r="J189" t="s">
        <v>1876</v>
      </c>
      <c r="K189" t="s">
        <v>1875</v>
      </c>
      <c r="L189" t="s">
        <v>1877</v>
      </c>
      <c r="M189" t="s">
        <v>920</v>
      </c>
      <c r="N189" t="s">
        <v>1896</v>
      </c>
      <c r="O189" t="s">
        <v>2203</v>
      </c>
    </row>
    <row r="190" spans="1:15" x14ac:dyDescent="0.35">
      <c r="A190" t="s">
        <v>2204</v>
      </c>
      <c r="B190" t="s">
        <v>2205</v>
      </c>
      <c r="C190" t="s">
        <v>1875</v>
      </c>
      <c r="D190" t="s">
        <v>1876</v>
      </c>
      <c r="E190">
        <v>400</v>
      </c>
      <c r="F190" t="s">
        <v>1903</v>
      </c>
      <c r="G190">
        <v>2026</v>
      </c>
      <c r="H190" t="s">
        <v>1875</v>
      </c>
      <c r="I190" t="s">
        <v>1875</v>
      </c>
      <c r="J190" t="s">
        <v>1876</v>
      </c>
      <c r="K190" t="s">
        <v>1875</v>
      </c>
      <c r="L190" t="s">
        <v>1877</v>
      </c>
      <c r="M190" t="s">
        <v>920</v>
      </c>
      <c r="N190" t="s">
        <v>1904</v>
      </c>
      <c r="O190" t="s">
        <v>2206</v>
      </c>
    </row>
    <row r="191" spans="1:15" x14ac:dyDescent="0.35">
      <c r="A191" t="s">
        <v>2323</v>
      </c>
      <c r="B191" t="s">
        <v>2324</v>
      </c>
      <c r="C191" t="s">
        <v>1875</v>
      </c>
      <c r="D191" t="s">
        <v>1876</v>
      </c>
      <c r="E191">
        <v>400</v>
      </c>
      <c r="F191" t="s">
        <v>958</v>
      </c>
      <c r="G191">
        <v>2026</v>
      </c>
      <c r="H191" t="s">
        <v>1875</v>
      </c>
      <c r="I191" t="s">
        <v>1875</v>
      </c>
      <c r="J191" t="s">
        <v>1876</v>
      </c>
      <c r="K191" t="s">
        <v>1875</v>
      </c>
      <c r="L191" t="s">
        <v>1877</v>
      </c>
      <c r="M191" t="s">
        <v>952</v>
      </c>
      <c r="N191" t="s">
        <v>1878</v>
      </c>
      <c r="O191" t="s">
        <v>2200</v>
      </c>
    </row>
    <row r="192" spans="1:15" x14ac:dyDescent="0.35">
      <c r="A192" t="s">
        <v>2325</v>
      </c>
      <c r="B192" t="s">
        <v>2326</v>
      </c>
      <c r="C192" t="s">
        <v>1875</v>
      </c>
      <c r="D192" t="s">
        <v>1876</v>
      </c>
      <c r="E192">
        <v>400</v>
      </c>
      <c r="F192" t="s">
        <v>1006</v>
      </c>
      <c r="G192">
        <v>2026</v>
      </c>
      <c r="H192" t="s">
        <v>1875</v>
      </c>
      <c r="I192" t="s">
        <v>1875</v>
      </c>
      <c r="J192" t="s">
        <v>1876</v>
      </c>
      <c r="K192" t="s">
        <v>1875</v>
      </c>
      <c r="L192" t="s">
        <v>1877</v>
      </c>
      <c r="M192" t="s">
        <v>952</v>
      </c>
      <c r="N192" t="s">
        <v>1896</v>
      </c>
      <c r="O192" t="s">
        <v>2203</v>
      </c>
    </row>
    <row r="193" spans="1:15" x14ac:dyDescent="0.35">
      <c r="A193" t="s">
        <v>2327</v>
      </c>
      <c r="B193" t="s">
        <v>2328</v>
      </c>
      <c r="C193" t="s">
        <v>1875</v>
      </c>
      <c r="D193" t="s">
        <v>1876</v>
      </c>
      <c r="E193">
        <v>400</v>
      </c>
      <c r="F193" t="s">
        <v>1903</v>
      </c>
      <c r="G193">
        <v>2026</v>
      </c>
      <c r="H193" t="s">
        <v>1875</v>
      </c>
      <c r="I193" t="s">
        <v>1875</v>
      </c>
      <c r="J193" t="s">
        <v>1876</v>
      </c>
      <c r="K193" t="s">
        <v>1875</v>
      </c>
      <c r="L193" t="s">
        <v>1877</v>
      </c>
      <c r="M193" t="s">
        <v>952</v>
      </c>
      <c r="N193" t="s">
        <v>1904</v>
      </c>
      <c r="O193" t="s">
        <v>2206</v>
      </c>
    </row>
    <row r="194" spans="1:15" x14ac:dyDescent="0.35">
      <c r="A194" t="s">
        <v>308</v>
      </c>
      <c r="B194" t="s">
        <v>2324</v>
      </c>
      <c r="C194" t="s">
        <v>1875</v>
      </c>
      <c r="D194" t="s">
        <v>1876</v>
      </c>
      <c r="E194">
        <v>400</v>
      </c>
      <c r="F194" t="s">
        <v>958</v>
      </c>
      <c r="G194">
        <v>2026</v>
      </c>
      <c r="H194" t="s">
        <v>1875</v>
      </c>
      <c r="I194" t="s">
        <v>1875</v>
      </c>
      <c r="J194" t="s">
        <v>1876</v>
      </c>
      <c r="K194" t="s">
        <v>1875</v>
      </c>
      <c r="L194" t="s">
        <v>1877</v>
      </c>
      <c r="M194" t="s">
        <v>918</v>
      </c>
      <c r="N194" t="s">
        <v>1878</v>
      </c>
      <c r="O194" t="s">
        <v>2200</v>
      </c>
    </row>
    <row r="195" spans="1:15" x14ac:dyDescent="0.35">
      <c r="A195" t="s">
        <v>364</v>
      </c>
      <c r="B195" t="s">
        <v>2326</v>
      </c>
      <c r="C195" t="s">
        <v>1875</v>
      </c>
      <c r="D195" t="s">
        <v>1876</v>
      </c>
      <c r="E195">
        <v>400</v>
      </c>
      <c r="F195" t="s">
        <v>1006</v>
      </c>
      <c r="G195">
        <v>2026</v>
      </c>
      <c r="H195" t="s">
        <v>1875</v>
      </c>
      <c r="I195" t="s">
        <v>1875</v>
      </c>
      <c r="J195" t="s">
        <v>1876</v>
      </c>
      <c r="K195" t="s">
        <v>1875</v>
      </c>
      <c r="L195" t="s">
        <v>1877</v>
      </c>
      <c r="M195" t="s">
        <v>918</v>
      </c>
      <c r="N195" t="s">
        <v>1896</v>
      </c>
      <c r="O195" t="s">
        <v>2203</v>
      </c>
    </row>
    <row r="196" spans="1:15" x14ac:dyDescent="0.35">
      <c r="A196" t="s">
        <v>309</v>
      </c>
      <c r="B196" t="s">
        <v>2328</v>
      </c>
      <c r="C196" t="s">
        <v>1875</v>
      </c>
      <c r="D196" t="s">
        <v>1876</v>
      </c>
      <c r="E196">
        <v>400</v>
      </c>
      <c r="F196" t="s">
        <v>1903</v>
      </c>
      <c r="G196">
        <v>2026</v>
      </c>
      <c r="H196" t="s">
        <v>1875</v>
      </c>
      <c r="I196" t="s">
        <v>1875</v>
      </c>
      <c r="J196" t="s">
        <v>1876</v>
      </c>
      <c r="K196" t="s">
        <v>1875</v>
      </c>
      <c r="L196" t="s">
        <v>1877</v>
      </c>
      <c r="M196" t="s">
        <v>918</v>
      </c>
      <c r="N196" t="s">
        <v>1904</v>
      </c>
      <c r="O196" t="s">
        <v>2206</v>
      </c>
    </row>
    <row r="197" spans="1:15" x14ac:dyDescent="0.35">
      <c r="A197" t="s">
        <v>2428</v>
      </c>
      <c r="B197" t="s">
        <v>2324</v>
      </c>
      <c r="C197" t="s">
        <v>1875</v>
      </c>
      <c r="D197" t="s">
        <v>1876</v>
      </c>
      <c r="E197">
        <v>400</v>
      </c>
      <c r="F197" t="s">
        <v>958</v>
      </c>
      <c r="G197">
        <v>2026</v>
      </c>
      <c r="H197" t="s">
        <v>1875</v>
      </c>
      <c r="I197" t="s">
        <v>1875</v>
      </c>
      <c r="J197" t="s">
        <v>1876</v>
      </c>
      <c r="K197" t="s">
        <v>1875</v>
      </c>
      <c r="L197" t="s">
        <v>1877</v>
      </c>
      <c r="M197" t="s">
        <v>969</v>
      </c>
      <c r="N197" t="s">
        <v>1878</v>
      </c>
      <c r="O197" t="s">
        <v>2200</v>
      </c>
    </row>
    <row r="198" spans="1:15" x14ac:dyDescent="0.35">
      <c r="A198" t="s">
        <v>2429</v>
      </c>
      <c r="B198" t="s">
        <v>2326</v>
      </c>
      <c r="C198" t="s">
        <v>1875</v>
      </c>
      <c r="D198" t="s">
        <v>1876</v>
      </c>
      <c r="E198">
        <v>400</v>
      </c>
      <c r="F198" t="s">
        <v>1006</v>
      </c>
      <c r="G198">
        <v>2026</v>
      </c>
      <c r="H198" t="s">
        <v>1875</v>
      </c>
      <c r="I198" t="s">
        <v>1875</v>
      </c>
      <c r="J198" t="s">
        <v>1876</v>
      </c>
      <c r="K198" t="s">
        <v>1875</v>
      </c>
      <c r="L198" t="s">
        <v>1877</v>
      </c>
      <c r="M198" t="s">
        <v>969</v>
      </c>
      <c r="N198" t="s">
        <v>1896</v>
      </c>
      <c r="O198" t="s">
        <v>2203</v>
      </c>
    </row>
    <row r="199" spans="1:15" x14ac:dyDescent="0.35">
      <c r="A199" t="s">
        <v>2430</v>
      </c>
      <c r="B199" t="s">
        <v>2328</v>
      </c>
      <c r="C199" t="s">
        <v>1875</v>
      </c>
      <c r="D199" t="s">
        <v>1876</v>
      </c>
      <c r="E199">
        <v>400</v>
      </c>
      <c r="F199" t="s">
        <v>1903</v>
      </c>
      <c r="G199">
        <v>2026</v>
      </c>
      <c r="H199" t="s">
        <v>1875</v>
      </c>
      <c r="I199" t="s">
        <v>1875</v>
      </c>
      <c r="J199" t="s">
        <v>1876</v>
      </c>
      <c r="K199" t="s">
        <v>1875</v>
      </c>
      <c r="L199" t="s">
        <v>1877</v>
      </c>
      <c r="M199" t="s">
        <v>969</v>
      </c>
      <c r="N199" t="s">
        <v>1904</v>
      </c>
      <c r="O199" t="s">
        <v>2206</v>
      </c>
    </row>
    <row r="200" spans="1:15" x14ac:dyDescent="0.35">
      <c r="A200" t="s">
        <v>720</v>
      </c>
      <c r="B200" t="s">
        <v>1869</v>
      </c>
      <c r="C200" t="s">
        <v>1870</v>
      </c>
      <c r="D200" t="s">
        <v>1871</v>
      </c>
      <c r="F200" t="s">
        <v>1871</v>
      </c>
      <c r="H200" t="s">
        <v>1870</v>
      </c>
      <c r="I200" t="s">
        <v>811</v>
      </c>
      <c r="J200" t="s">
        <v>919</v>
      </c>
      <c r="K200" t="s">
        <v>919</v>
      </c>
      <c r="M200" t="s">
        <v>920</v>
      </c>
      <c r="N200" t="s">
        <v>1872</v>
      </c>
      <c r="O200" t="s">
        <v>922</v>
      </c>
    </row>
    <row r="201" spans="1:15" x14ac:dyDescent="0.35">
      <c r="A201" t="s">
        <v>1864</v>
      </c>
      <c r="B201" t="s">
        <v>1865</v>
      </c>
      <c r="C201" t="s">
        <v>1866</v>
      </c>
      <c r="D201" t="s">
        <v>1788</v>
      </c>
      <c r="E201">
        <v>110</v>
      </c>
      <c r="F201" t="s">
        <v>951</v>
      </c>
      <c r="G201">
        <v>2022</v>
      </c>
      <c r="H201" t="s">
        <v>1866</v>
      </c>
      <c r="I201" t="s">
        <v>1866</v>
      </c>
      <c r="J201" t="s">
        <v>919</v>
      </c>
      <c r="K201" t="s">
        <v>919</v>
      </c>
      <c r="M201" t="s">
        <v>952</v>
      </c>
      <c r="N201" t="s">
        <v>1679</v>
      </c>
      <c r="O201" t="s">
        <v>922</v>
      </c>
    </row>
    <row r="202" spans="1:15" x14ac:dyDescent="0.35">
      <c r="A202" t="s">
        <v>1867</v>
      </c>
      <c r="B202" t="s">
        <v>1868</v>
      </c>
      <c r="C202" t="s">
        <v>1866</v>
      </c>
      <c r="D202" t="s">
        <v>1788</v>
      </c>
      <c r="E202">
        <v>110</v>
      </c>
      <c r="F202" t="s">
        <v>1006</v>
      </c>
      <c r="G202">
        <v>2022</v>
      </c>
      <c r="H202" t="s">
        <v>1866</v>
      </c>
      <c r="I202" t="s">
        <v>1866</v>
      </c>
      <c r="J202" t="s">
        <v>919</v>
      </c>
      <c r="K202" t="s">
        <v>919</v>
      </c>
      <c r="M202" t="s">
        <v>952</v>
      </c>
      <c r="N202" t="s">
        <v>1568</v>
      </c>
      <c r="O202" t="s">
        <v>922</v>
      </c>
    </row>
    <row r="203" spans="1:15" x14ac:dyDescent="0.35">
      <c r="A203" t="s">
        <v>1838</v>
      </c>
      <c r="B203" t="s">
        <v>1839</v>
      </c>
      <c r="C203" t="s">
        <v>1840</v>
      </c>
      <c r="D203" t="s">
        <v>1788</v>
      </c>
      <c r="E203">
        <v>125</v>
      </c>
      <c r="F203" t="s">
        <v>951</v>
      </c>
      <c r="G203">
        <v>2020</v>
      </c>
      <c r="H203" t="s">
        <v>1840</v>
      </c>
      <c r="I203" t="s">
        <v>1841</v>
      </c>
      <c r="J203" t="s">
        <v>919</v>
      </c>
      <c r="K203" t="s">
        <v>919</v>
      </c>
      <c r="M203" t="s">
        <v>952</v>
      </c>
      <c r="N203" t="s">
        <v>1679</v>
      </c>
      <c r="O203" t="s">
        <v>922</v>
      </c>
    </row>
    <row r="204" spans="1:15" x14ac:dyDescent="0.35">
      <c r="A204" t="s">
        <v>1842</v>
      </c>
      <c r="B204" t="s">
        <v>1843</v>
      </c>
      <c r="C204" t="s">
        <v>1840</v>
      </c>
      <c r="D204" t="s">
        <v>1788</v>
      </c>
      <c r="E204">
        <v>125</v>
      </c>
      <c r="F204" t="s">
        <v>951</v>
      </c>
      <c r="G204">
        <v>2020</v>
      </c>
      <c r="H204" t="s">
        <v>1840</v>
      </c>
      <c r="I204" t="s">
        <v>1841</v>
      </c>
      <c r="J204" t="s">
        <v>919</v>
      </c>
      <c r="K204" t="s">
        <v>919</v>
      </c>
      <c r="M204" t="s">
        <v>918</v>
      </c>
      <c r="N204" t="s">
        <v>1679</v>
      </c>
      <c r="O204" t="s">
        <v>922</v>
      </c>
    </row>
    <row r="205" spans="1:15" x14ac:dyDescent="0.35">
      <c r="A205" t="s">
        <v>1844</v>
      </c>
      <c r="B205" t="s">
        <v>1845</v>
      </c>
      <c r="C205" t="s">
        <v>1840</v>
      </c>
      <c r="D205" t="s">
        <v>1788</v>
      </c>
      <c r="E205">
        <v>125</v>
      </c>
      <c r="F205" t="s">
        <v>958</v>
      </c>
      <c r="G205">
        <v>2019</v>
      </c>
      <c r="H205" t="s">
        <v>1840</v>
      </c>
      <c r="I205" t="s">
        <v>1841</v>
      </c>
      <c r="J205" t="s">
        <v>919</v>
      </c>
      <c r="K205" t="s">
        <v>919</v>
      </c>
      <c r="M205" t="s">
        <v>952</v>
      </c>
      <c r="N205" t="s">
        <v>1669</v>
      </c>
      <c r="O205" t="s">
        <v>922</v>
      </c>
    </row>
    <row r="206" spans="1:15" x14ac:dyDescent="0.35">
      <c r="A206" t="s">
        <v>1846</v>
      </c>
      <c r="B206" t="s">
        <v>1847</v>
      </c>
      <c r="C206" t="s">
        <v>1840</v>
      </c>
      <c r="D206" t="s">
        <v>1788</v>
      </c>
      <c r="E206">
        <v>125</v>
      </c>
      <c r="F206" t="s">
        <v>958</v>
      </c>
      <c r="G206">
        <v>2022</v>
      </c>
      <c r="H206" t="s">
        <v>1840</v>
      </c>
      <c r="I206" t="s">
        <v>1841</v>
      </c>
      <c r="J206" t="s">
        <v>919</v>
      </c>
      <c r="K206" t="s">
        <v>919</v>
      </c>
      <c r="M206" t="s">
        <v>952</v>
      </c>
      <c r="N206" t="s">
        <v>1669</v>
      </c>
      <c r="O206" t="s">
        <v>922</v>
      </c>
    </row>
    <row r="207" spans="1:15" x14ac:dyDescent="0.35">
      <c r="A207" t="s">
        <v>1848</v>
      </c>
      <c r="B207" t="s">
        <v>1849</v>
      </c>
      <c r="C207" t="s">
        <v>1840</v>
      </c>
      <c r="D207" t="s">
        <v>1788</v>
      </c>
      <c r="E207">
        <v>125</v>
      </c>
      <c r="F207" t="s">
        <v>1006</v>
      </c>
      <c r="G207">
        <v>2021</v>
      </c>
      <c r="H207" t="s">
        <v>1840</v>
      </c>
      <c r="I207" t="s">
        <v>1841</v>
      </c>
      <c r="J207" t="s">
        <v>919</v>
      </c>
      <c r="K207" t="s">
        <v>919</v>
      </c>
      <c r="M207" t="s">
        <v>952</v>
      </c>
      <c r="N207" t="s">
        <v>1568</v>
      </c>
      <c r="O207" t="s">
        <v>922</v>
      </c>
    </row>
    <row r="208" spans="1:15" x14ac:dyDescent="0.35">
      <c r="A208" t="s">
        <v>1850</v>
      </c>
      <c r="B208" t="s">
        <v>1851</v>
      </c>
      <c r="C208" t="s">
        <v>1840</v>
      </c>
      <c r="D208" t="s">
        <v>1788</v>
      </c>
      <c r="E208">
        <v>125</v>
      </c>
      <c r="F208" t="s">
        <v>1006</v>
      </c>
      <c r="G208">
        <v>2021</v>
      </c>
      <c r="H208" t="s">
        <v>1840</v>
      </c>
      <c r="I208" t="s">
        <v>1841</v>
      </c>
      <c r="J208" t="s">
        <v>919</v>
      </c>
      <c r="K208" t="s">
        <v>919</v>
      </c>
      <c r="M208" t="s">
        <v>918</v>
      </c>
      <c r="N208" t="s">
        <v>1568</v>
      </c>
      <c r="O208" t="s">
        <v>922</v>
      </c>
    </row>
    <row r="209" spans="1:15" x14ac:dyDescent="0.35">
      <c r="A209" t="s">
        <v>1852</v>
      </c>
      <c r="B209" t="s">
        <v>1853</v>
      </c>
      <c r="C209" t="s">
        <v>1840</v>
      </c>
      <c r="D209" t="s">
        <v>1788</v>
      </c>
      <c r="E209">
        <v>125</v>
      </c>
      <c r="F209" t="s">
        <v>1006</v>
      </c>
      <c r="G209">
        <v>2022</v>
      </c>
      <c r="H209" t="s">
        <v>1840</v>
      </c>
      <c r="I209" t="s">
        <v>1841</v>
      </c>
      <c r="J209" t="s">
        <v>919</v>
      </c>
      <c r="K209" t="s">
        <v>919</v>
      </c>
      <c r="M209" t="s">
        <v>952</v>
      </c>
      <c r="N209" t="s">
        <v>1568</v>
      </c>
      <c r="O209" t="s">
        <v>922</v>
      </c>
    </row>
    <row r="210" spans="1:15" x14ac:dyDescent="0.35">
      <c r="A210" t="s">
        <v>1854</v>
      </c>
      <c r="B210" t="s">
        <v>1855</v>
      </c>
      <c r="C210" t="s">
        <v>1840</v>
      </c>
      <c r="D210" t="s">
        <v>1788</v>
      </c>
      <c r="E210">
        <v>125</v>
      </c>
      <c r="F210" t="s">
        <v>1006</v>
      </c>
      <c r="G210">
        <v>2019</v>
      </c>
      <c r="H210" t="s">
        <v>1840</v>
      </c>
      <c r="I210" t="s">
        <v>1841</v>
      </c>
      <c r="J210" t="s">
        <v>919</v>
      </c>
      <c r="K210" t="s">
        <v>919</v>
      </c>
      <c r="M210" t="s">
        <v>952</v>
      </c>
      <c r="N210" t="s">
        <v>1568</v>
      </c>
      <c r="O210" t="s">
        <v>922</v>
      </c>
    </row>
    <row r="211" spans="1:15" x14ac:dyDescent="0.35">
      <c r="A211" t="s">
        <v>1856</v>
      </c>
      <c r="B211" t="s">
        <v>1857</v>
      </c>
      <c r="C211" t="s">
        <v>1840</v>
      </c>
      <c r="D211" t="s">
        <v>1788</v>
      </c>
      <c r="E211">
        <v>125</v>
      </c>
      <c r="F211" t="s">
        <v>1006</v>
      </c>
      <c r="G211">
        <v>2020</v>
      </c>
      <c r="H211" t="s">
        <v>1840</v>
      </c>
      <c r="I211" t="s">
        <v>1841</v>
      </c>
      <c r="J211" t="s">
        <v>919</v>
      </c>
      <c r="K211" t="s">
        <v>919</v>
      </c>
      <c r="M211" t="s">
        <v>952</v>
      </c>
      <c r="N211" t="s">
        <v>1568</v>
      </c>
      <c r="O211" t="s">
        <v>922</v>
      </c>
    </row>
    <row r="212" spans="1:15" x14ac:dyDescent="0.35">
      <c r="A212" t="s">
        <v>1858</v>
      </c>
      <c r="B212" t="s">
        <v>1859</v>
      </c>
      <c r="C212" t="s">
        <v>1840</v>
      </c>
      <c r="D212" t="s">
        <v>1788</v>
      </c>
      <c r="E212">
        <v>125</v>
      </c>
      <c r="F212" t="s">
        <v>1006</v>
      </c>
      <c r="G212">
        <v>2020</v>
      </c>
      <c r="H212" t="s">
        <v>1840</v>
      </c>
      <c r="I212" t="s">
        <v>1841</v>
      </c>
      <c r="J212" t="s">
        <v>919</v>
      </c>
      <c r="K212" t="s">
        <v>919</v>
      </c>
      <c r="M212" t="s">
        <v>918</v>
      </c>
      <c r="N212" t="s">
        <v>1568</v>
      </c>
      <c r="O212" t="s">
        <v>922</v>
      </c>
    </row>
    <row r="213" spans="1:15" x14ac:dyDescent="0.35">
      <c r="A213" t="s">
        <v>1860</v>
      </c>
      <c r="B213" t="s">
        <v>1861</v>
      </c>
      <c r="C213" t="s">
        <v>1840</v>
      </c>
      <c r="D213" t="s">
        <v>1788</v>
      </c>
      <c r="E213">
        <v>125</v>
      </c>
      <c r="F213" t="s">
        <v>1006</v>
      </c>
      <c r="G213">
        <v>2021</v>
      </c>
      <c r="H213" t="s">
        <v>1840</v>
      </c>
      <c r="I213" t="s">
        <v>1841</v>
      </c>
      <c r="J213" t="s">
        <v>919</v>
      </c>
      <c r="K213" t="s">
        <v>919</v>
      </c>
      <c r="M213" t="s">
        <v>952</v>
      </c>
      <c r="N213" t="s">
        <v>1568</v>
      </c>
      <c r="O213" t="s">
        <v>922</v>
      </c>
    </row>
    <row r="214" spans="1:15" x14ac:dyDescent="0.35">
      <c r="A214" t="s">
        <v>834</v>
      </c>
      <c r="B214" t="s">
        <v>1862</v>
      </c>
      <c r="C214" t="s">
        <v>1840</v>
      </c>
      <c r="D214" t="s">
        <v>1788</v>
      </c>
      <c r="E214">
        <v>125</v>
      </c>
      <c r="F214" t="s">
        <v>1006</v>
      </c>
      <c r="G214">
        <v>2021</v>
      </c>
      <c r="H214" t="s">
        <v>1840</v>
      </c>
      <c r="I214" t="s">
        <v>1841</v>
      </c>
      <c r="J214" t="s">
        <v>919</v>
      </c>
      <c r="K214" t="s">
        <v>919</v>
      </c>
      <c r="M214" t="s">
        <v>918</v>
      </c>
      <c r="N214" t="s">
        <v>1568</v>
      </c>
      <c r="O214" t="s">
        <v>922</v>
      </c>
    </row>
    <row r="215" spans="1:15" x14ac:dyDescent="0.35">
      <c r="A215" t="s">
        <v>833</v>
      </c>
      <c r="B215" t="s">
        <v>1863</v>
      </c>
      <c r="C215" t="s">
        <v>1840</v>
      </c>
      <c r="D215" t="s">
        <v>1788</v>
      </c>
      <c r="E215">
        <v>125</v>
      </c>
      <c r="F215" t="s">
        <v>958</v>
      </c>
      <c r="G215">
        <v>2019</v>
      </c>
      <c r="H215" t="s">
        <v>1840</v>
      </c>
      <c r="I215" t="s">
        <v>1841</v>
      </c>
      <c r="J215" t="s">
        <v>919</v>
      </c>
      <c r="K215" t="s">
        <v>919</v>
      </c>
      <c r="M215" t="s">
        <v>918</v>
      </c>
      <c r="N215" t="s">
        <v>1669</v>
      </c>
      <c r="O215" t="s">
        <v>922</v>
      </c>
    </row>
    <row r="216" spans="1:15" x14ac:dyDescent="0.35">
      <c r="A216" t="s">
        <v>1785</v>
      </c>
      <c r="B216" t="s">
        <v>1786</v>
      </c>
      <c r="C216" t="s">
        <v>1787</v>
      </c>
      <c r="D216" t="s">
        <v>1788</v>
      </c>
      <c r="E216">
        <v>100</v>
      </c>
      <c r="F216" t="s">
        <v>1006</v>
      </c>
      <c r="G216">
        <v>2024</v>
      </c>
      <c r="H216" t="s">
        <v>1787</v>
      </c>
      <c r="I216" t="s">
        <v>1789</v>
      </c>
      <c r="J216" t="s">
        <v>1788</v>
      </c>
      <c r="K216" t="s">
        <v>1787</v>
      </c>
      <c r="M216" t="s">
        <v>920</v>
      </c>
      <c r="N216" t="s">
        <v>1790</v>
      </c>
      <c r="O216" t="s">
        <v>922</v>
      </c>
    </row>
    <row r="217" spans="1:15" x14ac:dyDescent="0.35">
      <c r="A217" t="s">
        <v>1791</v>
      </c>
      <c r="B217" t="s">
        <v>1792</v>
      </c>
      <c r="C217" t="s">
        <v>1787</v>
      </c>
      <c r="D217" t="s">
        <v>1788</v>
      </c>
      <c r="E217">
        <v>100</v>
      </c>
      <c r="F217" t="s">
        <v>1006</v>
      </c>
      <c r="G217">
        <v>2025</v>
      </c>
      <c r="H217" t="s">
        <v>1787</v>
      </c>
      <c r="I217" t="s">
        <v>1789</v>
      </c>
      <c r="J217" t="s">
        <v>1788</v>
      </c>
      <c r="K217" t="s">
        <v>1787</v>
      </c>
      <c r="M217" t="s">
        <v>920</v>
      </c>
      <c r="N217" t="s">
        <v>1790</v>
      </c>
      <c r="O217" t="s">
        <v>1793</v>
      </c>
    </row>
    <row r="218" spans="1:15" x14ac:dyDescent="0.35">
      <c r="A218" t="s">
        <v>1794</v>
      </c>
      <c r="B218" t="s">
        <v>1795</v>
      </c>
      <c r="C218" t="s">
        <v>1787</v>
      </c>
      <c r="D218" t="s">
        <v>1788</v>
      </c>
      <c r="E218">
        <v>100</v>
      </c>
      <c r="F218" t="s">
        <v>1006</v>
      </c>
      <c r="G218">
        <v>2021</v>
      </c>
      <c r="H218" t="s">
        <v>1787</v>
      </c>
      <c r="I218" t="s">
        <v>1789</v>
      </c>
      <c r="J218" t="s">
        <v>1788</v>
      </c>
      <c r="K218" t="s">
        <v>1787</v>
      </c>
      <c r="M218" t="s">
        <v>952</v>
      </c>
      <c r="N218" t="s">
        <v>1790</v>
      </c>
      <c r="O218" t="s">
        <v>922</v>
      </c>
    </row>
    <row r="219" spans="1:15" x14ac:dyDescent="0.35">
      <c r="A219" t="s">
        <v>585</v>
      </c>
      <c r="B219" t="s">
        <v>1796</v>
      </c>
      <c r="C219" t="s">
        <v>1787</v>
      </c>
      <c r="D219" t="s">
        <v>1788</v>
      </c>
      <c r="E219">
        <v>100</v>
      </c>
      <c r="F219" t="s">
        <v>1006</v>
      </c>
      <c r="G219">
        <v>2022</v>
      </c>
      <c r="H219" t="s">
        <v>1787</v>
      </c>
      <c r="I219" t="s">
        <v>1789</v>
      </c>
      <c r="J219" t="s">
        <v>1788</v>
      </c>
      <c r="K219" t="s">
        <v>1787</v>
      </c>
      <c r="M219" t="s">
        <v>918</v>
      </c>
      <c r="N219" t="s">
        <v>1790</v>
      </c>
      <c r="O219" t="s">
        <v>922</v>
      </c>
    </row>
    <row r="220" spans="1:15" x14ac:dyDescent="0.35">
      <c r="A220" t="s">
        <v>584</v>
      </c>
      <c r="B220" t="s">
        <v>1797</v>
      </c>
      <c r="C220" t="s">
        <v>1787</v>
      </c>
      <c r="D220" t="s">
        <v>1788</v>
      </c>
      <c r="E220">
        <v>100</v>
      </c>
      <c r="F220" t="s">
        <v>1006</v>
      </c>
      <c r="G220">
        <v>2023</v>
      </c>
      <c r="H220" t="s">
        <v>1787</v>
      </c>
      <c r="I220" t="s">
        <v>1789</v>
      </c>
      <c r="J220" t="s">
        <v>1788</v>
      </c>
      <c r="K220" t="s">
        <v>1787</v>
      </c>
      <c r="M220" t="s">
        <v>918</v>
      </c>
      <c r="N220" t="s">
        <v>1790</v>
      </c>
      <c r="O220" t="s">
        <v>922</v>
      </c>
    </row>
    <row r="221" spans="1:15" x14ac:dyDescent="0.35">
      <c r="A221" t="s">
        <v>1798</v>
      </c>
      <c r="B221" t="s">
        <v>1799</v>
      </c>
      <c r="C221" t="s">
        <v>1787</v>
      </c>
      <c r="D221" t="s">
        <v>1788</v>
      </c>
      <c r="E221">
        <v>100</v>
      </c>
      <c r="F221" t="s">
        <v>951</v>
      </c>
      <c r="G221">
        <v>2019</v>
      </c>
      <c r="H221" t="s">
        <v>1787</v>
      </c>
      <c r="I221" t="s">
        <v>1789</v>
      </c>
      <c r="J221" t="s">
        <v>1788</v>
      </c>
      <c r="K221" t="s">
        <v>1787</v>
      </c>
      <c r="M221" t="s">
        <v>952</v>
      </c>
      <c r="N221" t="s">
        <v>1800</v>
      </c>
      <c r="O221" t="s">
        <v>922</v>
      </c>
    </row>
    <row r="222" spans="1:15" x14ac:dyDescent="0.35">
      <c r="A222" t="s">
        <v>1801</v>
      </c>
      <c r="B222" t="s">
        <v>1802</v>
      </c>
      <c r="C222" t="s">
        <v>1787</v>
      </c>
      <c r="D222" t="s">
        <v>1788</v>
      </c>
      <c r="E222">
        <v>100</v>
      </c>
      <c r="F222" t="s">
        <v>951</v>
      </c>
      <c r="G222">
        <v>2020</v>
      </c>
      <c r="H222" t="s">
        <v>1787</v>
      </c>
      <c r="I222" t="s">
        <v>1789</v>
      </c>
      <c r="J222" t="s">
        <v>1788</v>
      </c>
      <c r="K222" t="s">
        <v>1787</v>
      </c>
      <c r="M222" t="s">
        <v>952</v>
      </c>
      <c r="N222" t="s">
        <v>1800</v>
      </c>
      <c r="O222" t="s">
        <v>922</v>
      </c>
    </row>
    <row r="223" spans="1:15" x14ac:dyDescent="0.35">
      <c r="A223" t="s">
        <v>1803</v>
      </c>
      <c r="B223" t="s">
        <v>1804</v>
      </c>
      <c r="C223" t="s">
        <v>1787</v>
      </c>
      <c r="D223" t="s">
        <v>1788</v>
      </c>
      <c r="E223">
        <v>100</v>
      </c>
      <c r="F223" t="s">
        <v>958</v>
      </c>
      <c r="G223">
        <v>2025</v>
      </c>
      <c r="H223" t="s">
        <v>1787</v>
      </c>
      <c r="I223" t="s">
        <v>1789</v>
      </c>
      <c r="J223" t="s">
        <v>1788</v>
      </c>
      <c r="K223" t="s">
        <v>1787</v>
      </c>
      <c r="M223" t="s">
        <v>952</v>
      </c>
      <c r="N223" t="s">
        <v>1805</v>
      </c>
      <c r="O223" t="s">
        <v>1806</v>
      </c>
    </row>
    <row r="224" spans="1:15" x14ac:dyDescent="0.35">
      <c r="A224" t="s">
        <v>1807</v>
      </c>
      <c r="B224" t="s">
        <v>1808</v>
      </c>
      <c r="C224" t="s">
        <v>1787</v>
      </c>
      <c r="D224" t="s">
        <v>1788</v>
      </c>
      <c r="E224">
        <v>100</v>
      </c>
      <c r="F224" t="s">
        <v>958</v>
      </c>
      <c r="G224">
        <v>2025</v>
      </c>
      <c r="H224" t="s">
        <v>1787</v>
      </c>
      <c r="I224" t="s">
        <v>1789</v>
      </c>
      <c r="J224" t="s">
        <v>1788</v>
      </c>
      <c r="K224" t="s">
        <v>1787</v>
      </c>
      <c r="M224" t="s">
        <v>969</v>
      </c>
      <c r="N224" t="s">
        <v>1805</v>
      </c>
      <c r="O224" t="s">
        <v>1806</v>
      </c>
    </row>
    <row r="225" spans="1:15" x14ac:dyDescent="0.35">
      <c r="A225" t="s">
        <v>1809</v>
      </c>
      <c r="B225" t="s">
        <v>1810</v>
      </c>
      <c r="C225" t="s">
        <v>1787</v>
      </c>
      <c r="D225" t="s">
        <v>1788</v>
      </c>
      <c r="E225">
        <v>100</v>
      </c>
      <c r="F225" t="s">
        <v>1006</v>
      </c>
      <c r="G225">
        <v>2019</v>
      </c>
      <c r="H225" t="s">
        <v>1787</v>
      </c>
      <c r="I225" t="s">
        <v>1789</v>
      </c>
      <c r="J225" t="s">
        <v>1788</v>
      </c>
      <c r="K225" t="s">
        <v>1787</v>
      </c>
      <c r="M225" t="s">
        <v>952</v>
      </c>
      <c r="N225" t="s">
        <v>1790</v>
      </c>
      <c r="O225" t="s">
        <v>922</v>
      </c>
    </row>
    <row r="226" spans="1:15" x14ac:dyDescent="0.35">
      <c r="A226" t="s">
        <v>1811</v>
      </c>
      <c r="B226" t="s">
        <v>1812</v>
      </c>
      <c r="C226" t="s">
        <v>1787</v>
      </c>
      <c r="D226" t="s">
        <v>1788</v>
      </c>
      <c r="E226">
        <v>100</v>
      </c>
      <c r="F226" t="s">
        <v>1006</v>
      </c>
      <c r="G226">
        <v>2020</v>
      </c>
      <c r="H226" t="s">
        <v>1787</v>
      </c>
      <c r="I226" t="s">
        <v>1789</v>
      </c>
      <c r="J226" t="s">
        <v>1788</v>
      </c>
      <c r="K226" t="s">
        <v>1787</v>
      </c>
      <c r="M226" t="s">
        <v>952</v>
      </c>
      <c r="N226" t="s">
        <v>1790</v>
      </c>
      <c r="O226" t="s">
        <v>922</v>
      </c>
    </row>
    <row r="227" spans="1:15" x14ac:dyDescent="0.35">
      <c r="A227" t="s">
        <v>1813</v>
      </c>
      <c r="B227" t="s">
        <v>1814</v>
      </c>
      <c r="C227" t="s">
        <v>1787</v>
      </c>
      <c r="D227" t="s">
        <v>1788</v>
      </c>
      <c r="E227">
        <v>100</v>
      </c>
      <c r="F227" t="s">
        <v>1006</v>
      </c>
      <c r="G227">
        <v>2020</v>
      </c>
      <c r="H227" t="s">
        <v>1787</v>
      </c>
      <c r="I227" t="s">
        <v>1789</v>
      </c>
      <c r="J227" t="s">
        <v>1788</v>
      </c>
      <c r="K227" t="s">
        <v>1787</v>
      </c>
      <c r="M227" t="s">
        <v>918</v>
      </c>
      <c r="N227" t="s">
        <v>1790</v>
      </c>
      <c r="O227" t="s">
        <v>922</v>
      </c>
    </row>
    <row r="228" spans="1:15" x14ac:dyDescent="0.35">
      <c r="A228" t="s">
        <v>1815</v>
      </c>
      <c r="B228" t="s">
        <v>1816</v>
      </c>
      <c r="C228" t="s">
        <v>1787</v>
      </c>
      <c r="D228" t="s">
        <v>1788</v>
      </c>
      <c r="E228">
        <v>100</v>
      </c>
      <c r="F228" t="s">
        <v>1006</v>
      </c>
      <c r="G228">
        <v>2021</v>
      </c>
      <c r="H228" t="s">
        <v>1787</v>
      </c>
      <c r="I228" t="s">
        <v>1789</v>
      </c>
      <c r="J228" t="s">
        <v>1788</v>
      </c>
      <c r="K228" t="s">
        <v>1787</v>
      </c>
      <c r="M228" t="s">
        <v>952</v>
      </c>
      <c r="N228" t="s">
        <v>1790</v>
      </c>
      <c r="O228" t="s">
        <v>922</v>
      </c>
    </row>
    <row r="229" spans="1:15" x14ac:dyDescent="0.35">
      <c r="A229" t="s">
        <v>414</v>
      </c>
      <c r="B229" t="s">
        <v>90</v>
      </c>
      <c r="C229" t="s">
        <v>1787</v>
      </c>
      <c r="D229" t="s">
        <v>1788</v>
      </c>
      <c r="E229">
        <v>100</v>
      </c>
      <c r="F229" t="s">
        <v>1006</v>
      </c>
      <c r="G229">
        <v>2021</v>
      </c>
      <c r="H229" t="s">
        <v>1787</v>
      </c>
      <c r="I229" t="s">
        <v>1789</v>
      </c>
      <c r="J229" t="s">
        <v>1788</v>
      </c>
      <c r="K229" t="s">
        <v>1787</v>
      </c>
      <c r="M229" t="s">
        <v>918</v>
      </c>
      <c r="N229" t="s">
        <v>1790</v>
      </c>
      <c r="O229" t="s">
        <v>922</v>
      </c>
    </row>
    <row r="230" spans="1:15" x14ac:dyDescent="0.35">
      <c r="A230" t="s">
        <v>1817</v>
      </c>
      <c r="B230" t="s">
        <v>1818</v>
      </c>
      <c r="C230" t="s">
        <v>1787</v>
      </c>
      <c r="D230" t="s">
        <v>1788</v>
      </c>
      <c r="E230">
        <v>100</v>
      </c>
      <c r="F230" t="s">
        <v>1006</v>
      </c>
      <c r="G230">
        <v>2022</v>
      </c>
      <c r="H230" t="s">
        <v>1787</v>
      </c>
      <c r="I230" t="s">
        <v>1789</v>
      </c>
      <c r="J230" t="s">
        <v>1788</v>
      </c>
      <c r="K230" t="s">
        <v>1787</v>
      </c>
      <c r="M230" t="s">
        <v>952</v>
      </c>
      <c r="N230" t="s">
        <v>1790</v>
      </c>
      <c r="O230" t="s">
        <v>922</v>
      </c>
    </row>
    <row r="231" spans="1:15" x14ac:dyDescent="0.35">
      <c r="A231" t="s">
        <v>1819</v>
      </c>
      <c r="B231" t="s">
        <v>1820</v>
      </c>
      <c r="C231" t="s">
        <v>1787</v>
      </c>
      <c r="D231" t="s">
        <v>1788</v>
      </c>
      <c r="E231">
        <v>100</v>
      </c>
      <c r="F231" t="s">
        <v>1006</v>
      </c>
      <c r="G231">
        <v>2022</v>
      </c>
      <c r="H231" t="s">
        <v>1787</v>
      </c>
      <c r="I231" t="s">
        <v>1789</v>
      </c>
      <c r="J231" t="s">
        <v>1788</v>
      </c>
      <c r="K231" t="s">
        <v>1787</v>
      </c>
      <c r="M231" t="s">
        <v>969</v>
      </c>
      <c r="N231" t="s">
        <v>1790</v>
      </c>
      <c r="O231" t="s">
        <v>922</v>
      </c>
    </row>
    <row r="232" spans="1:15" x14ac:dyDescent="0.35">
      <c r="A232" t="s">
        <v>415</v>
      </c>
      <c r="B232" t="s">
        <v>91</v>
      </c>
      <c r="C232" t="s">
        <v>1787</v>
      </c>
      <c r="D232" t="s">
        <v>1788</v>
      </c>
      <c r="E232">
        <v>100</v>
      </c>
      <c r="F232" t="s">
        <v>1006</v>
      </c>
      <c r="G232">
        <v>2022</v>
      </c>
      <c r="H232" t="s">
        <v>1787</v>
      </c>
      <c r="I232" t="s">
        <v>1789</v>
      </c>
      <c r="J232" t="s">
        <v>1788</v>
      </c>
      <c r="K232" t="s">
        <v>1787</v>
      </c>
      <c r="M232" t="s">
        <v>918</v>
      </c>
      <c r="N232" t="s">
        <v>1790</v>
      </c>
      <c r="O232" t="s">
        <v>922</v>
      </c>
    </row>
    <row r="233" spans="1:15" x14ac:dyDescent="0.35">
      <c r="A233" t="s">
        <v>1821</v>
      </c>
      <c r="B233" t="s">
        <v>1822</v>
      </c>
      <c r="C233" t="s">
        <v>1787</v>
      </c>
      <c r="D233" t="s">
        <v>1788</v>
      </c>
      <c r="E233">
        <v>100</v>
      </c>
      <c r="F233" t="s">
        <v>1006</v>
      </c>
      <c r="G233">
        <v>2023</v>
      </c>
      <c r="H233" t="s">
        <v>1787</v>
      </c>
      <c r="I233" t="s">
        <v>1789</v>
      </c>
      <c r="J233" t="s">
        <v>1788</v>
      </c>
      <c r="K233" t="s">
        <v>1787</v>
      </c>
      <c r="M233" t="s">
        <v>952</v>
      </c>
      <c r="N233" t="s">
        <v>1790</v>
      </c>
      <c r="O233" t="s">
        <v>922</v>
      </c>
    </row>
    <row r="234" spans="1:15" x14ac:dyDescent="0.35">
      <c r="A234" t="s">
        <v>1823</v>
      </c>
      <c r="B234" t="s">
        <v>1824</v>
      </c>
      <c r="C234" t="s">
        <v>1787</v>
      </c>
      <c r="D234" t="s">
        <v>1788</v>
      </c>
      <c r="E234">
        <v>100</v>
      </c>
      <c r="F234" t="s">
        <v>1006</v>
      </c>
      <c r="G234">
        <v>2023</v>
      </c>
      <c r="H234" t="s">
        <v>1787</v>
      </c>
      <c r="I234" t="s">
        <v>1789</v>
      </c>
      <c r="J234" t="s">
        <v>1788</v>
      </c>
      <c r="K234" t="s">
        <v>1787</v>
      </c>
      <c r="M234" t="s">
        <v>969</v>
      </c>
      <c r="N234" t="s">
        <v>1790</v>
      </c>
      <c r="O234" t="s">
        <v>922</v>
      </c>
    </row>
    <row r="235" spans="1:15" x14ac:dyDescent="0.35">
      <c r="A235" t="s">
        <v>332</v>
      </c>
      <c r="B235" t="s">
        <v>1825</v>
      </c>
      <c r="C235" t="s">
        <v>1787</v>
      </c>
      <c r="D235" t="s">
        <v>1788</v>
      </c>
      <c r="E235">
        <v>100</v>
      </c>
      <c r="F235" t="s">
        <v>1006</v>
      </c>
      <c r="G235">
        <v>2023</v>
      </c>
      <c r="H235" t="s">
        <v>1787</v>
      </c>
      <c r="I235" t="s">
        <v>1789</v>
      </c>
      <c r="J235" t="s">
        <v>1788</v>
      </c>
      <c r="K235" t="s">
        <v>1787</v>
      </c>
      <c r="M235" t="s">
        <v>918</v>
      </c>
      <c r="N235" t="s">
        <v>1790</v>
      </c>
      <c r="O235" t="s">
        <v>922</v>
      </c>
    </row>
    <row r="236" spans="1:15" x14ac:dyDescent="0.35">
      <c r="A236" t="s">
        <v>1826</v>
      </c>
      <c r="B236" t="s">
        <v>1827</v>
      </c>
      <c r="C236" t="s">
        <v>1787</v>
      </c>
      <c r="D236" t="s">
        <v>1788</v>
      </c>
      <c r="E236">
        <v>100</v>
      </c>
      <c r="F236" t="s">
        <v>1006</v>
      </c>
      <c r="G236">
        <v>2024</v>
      </c>
      <c r="H236" t="s">
        <v>1787</v>
      </c>
      <c r="I236" t="s">
        <v>1789</v>
      </c>
      <c r="J236" t="s">
        <v>1788</v>
      </c>
      <c r="K236" t="s">
        <v>1787</v>
      </c>
      <c r="M236" t="s">
        <v>952</v>
      </c>
      <c r="N236" t="s">
        <v>1790</v>
      </c>
      <c r="O236" t="s">
        <v>922</v>
      </c>
    </row>
    <row r="237" spans="1:15" x14ac:dyDescent="0.35">
      <c r="A237" t="s">
        <v>1828</v>
      </c>
      <c r="B237" t="s">
        <v>1829</v>
      </c>
      <c r="C237" t="s">
        <v>1787</v>
      </c>
      <c r="D237" t="s">
        <v>1788</v>
      </c>
      <c r="E237">
        <v>100</v>
      </c>
      <c r="F237" t="s">
        <v>1006</v>
      </c>
      <c r="G237">
        <v>2024</v>
      </c>
      <c r="H237" t="s">
        <v>1787</v>
      </c>
      <c r="I237" t="s">
        <v>1789</v>
      </c>
      <c r="J237" t="s">
        <v>1788</v>
      </c>
      <c r="K237" t="s">
        <v>1787</v>
      </c>
      <c r="M237" t="s">
        <v>969</v>
      </c>
      <c r="N237" t="s">
        <v>1790</v>
      </c>
      <c r="O237" t="s">
        <v>922</v>
      </c>
    </row>
    <row r="238" spans="1:15" x14ac:dyDescent="0.35">
      <c r="A238" t="s">
        <v>348</v>
      </c>
      <c r="B238" t="s">
        <v>1830</v>
      </c>
      <c r="C238" t="s">
        <v>1787</v>
      </c>
      <c r="D238" t="s">
        <v>1788</v>
      </c>
      <c r="E238">
        <v>100</v>
      </c>
      <c r="F238" t="s">
        <v>1006</v>
      </c>
      <c r="G238">
        <v>2024</v>
      </c>
      <c r="H238" t="s">
        <v>1787</v>
      </c>
      <c r="I238" t="s">
        <v>1789</v>
      </c>
      <c r="J238" t="s">
        <v>1788</v>
      </c>
      <c r="K238" t="s">
        <v>1787</v>
      </c>
      <c r="M238" t="s">
        <v>918</v>
      </c>
      <c r="N238" t="s">
        <v>1790</v>
      </c>
      <c r="O238" t="s">
        <v>922</v>
      </c>
    </row>
    <row r="239" spans="1:15" x14ac:dyDescent="0.35">
      <c r="A239" t="s">
        <v>1831</v>
      </c>
      <c r="B239" t="s">
        <v>1832</v>
      </c>
      <c r="C239" t="s">
        <v>1787</v>
      </c>
      <c r="D239" t="s">
        <v>1788</v>
      </c>
      <c r="E239">
        <v>100</v>
      </c>
      <c r="F239" t="s">
        <v>1006</v>
      </c>
      <c r="G239">
        <v>2025</v>
      </c>
      <c r="H239" t="s">
        <v>1787</v>
      </c>
      <c r="I239" t="s">
        <v>1789</v>
      </c>
      <c r="J239" t="s">
        <v>1788</v>
      </c>
      <c r="K239" t="s">
        <v>1787</v>
      </c>
      <c r="M239" t="s">
        <v>952</v>
      </c>
      <c r="N239" t="s">
        <v>1790</v>
      </c>
      <c r="O239" t="s">
        <v>1793</v>
      </c>
    </row>
    <row r="240" spans="1:15" x14ac:dyDescent="0.35">
      <c r="A240" t="s">
        <v>1833</v>
      </c>
      <c r="B240" t="s">
        <v>1834</v>
      </c>
      <c r="C240" t="s">
        <v>1787</v>
      </c>
      <c r="D240" t="s">
        <v>1788</v>
      </c>
      <c r="E240">
        <v>100</v>
      </c>
      <c r="F240" t="s">
        <v>1006</v>
      </c>
      <c r="G240">
        <v>2025</v>
      </c>
      <c r="H240" t="s">
        <v>1787</v>
      </c>
      <c r="I240" t="s">
        <v>1789</v>
      </c>
      <c r="J240" t="s">
        <v>1788</v>
      </c>
      <c r="K240" t="s">
        <v>1787</v>
      </c>
      <c r="M240" t="s">
        <v>969</v>
      </c>
      <c r="N240" t="s">
        <v>1790</v>
      </c>
      <c r="O240" t="s">
        <v>1793</v>
      </c>
    </row>
    <row r="241" spans="1:15" x14ac:dyDescent="0.35">
      <c r="A241" t="s">
        <v>357</v>
      </c>
      <c r="B241" t="s">
        <v>1835</v>
      </c>
      <c r="C241" t="s">
        <v>1787</v>
      </c>
      <c r="D241" t="s">
        <v>1788</v>
      </c>
      <c r="E241">
        <v>100</v>
      </c>
      <c r="F241" t="s">
        <v>1006</v>
      </c>
      <c r="G241">
        <v>2025</v>
      </c>
      <c r="H241" t="s">
        <v>1787</v>
      </c>
      <c r="I241" t="s">
        <v>1789</v>
      </c>
      <c r="J241" t="s">
        <v>1788</v>
      </c>
      <c r="K241" t="s">
        <v>1787</v>
      </c>
      <c r="M241" t="s">
        <v>918</v>
      </c>
      <c r="N241" t="s">
        <v>1790</v>
      </c>
      <c r="O241" t="s">
        <v>1793</v>
      </c>
    </row>
    <row r="242" spans="1:15" x14ac:dyDescent="0.35">
      <c r="A242" t="s">
        <v>1836</v>
      </c>
      <c r="B242" t="s">
        <v>1837</v>
      </c>
      <c r="C242" t="s">
        <v>1787</v>
      </c>
      <c r="D242" t="s">
        <v>1788</v>
      </c>
      <c r="E242">
        <v>100</v>
      </c>
      <c r="F242" t="s">
        <v>958</v>
      </c>
      <c r="G242">
        <v>2025</v>
      </c>
      <c r="H242" t="s">
        <v>1787</v>
      </c>
      <c r="I242" t="s">
        <v>1789</v>
      </c>
      <c r="J242" t="s">
        <v>1788</v>
      </c>
      <c r="K242" t="s">
        <v>1787</v>
      </c>
      <c r="M242" t="s">
        <v>920</v>
      </c>
      <c r="N242" t="s">
        <v>1805</v>
      </c>
      <c r="O242" t="s">
        <v>1806</v>
      </c>
    </row>
    <row r="243" spans="1:15" x14ac:dyDescent="0.35">
      <c r="A243" t="s">
        <v>2247</v>
      </c>
      <c r="B243" t="s">
        <v>2248</v>
      </c>
      <c r="C243" t="s">
        <v>1787</v>
      </c>
      <c r="D243" t="s">
        <v>1788</v>
      </c>
      <c r="E243">
        <v>100</v>
      </c>
      <c r="F243" t="s">
        <v>1006</v>
      </c>
      <c r="G243">
        <v>2026</v>
      </c>
      <c r="H243" t="s">
        <v>1787</v>
      </c>
      <c r="I243" t="s">
        <v>2249</v>
      </c>
      <c r="J243" t="s">
        <v>1788</v>
      </c>
      <c r="K243" t="s">
        <v>1787</v>
      </c>
      <c r="M243" t="s">
        <v>920</v>
      </c>
      <c r="N243" t="s">
        <v>1790</v>
      </c>
      <c r="O243" t="s">
        <v>1793</v>
      </c>
    </row>
    <row r="244" spans="1:15" x14ac:dyDescent="0.35">
      <c r="A244" t="s">
        <v>2367</v>
      </c>
      <c r="B244" t="s">
        <v>2368</v>
      </c>
      <c r="C244" t="s">
        <v>1787</v>
      </c>
      <c r="D244" t="s">
        <v>1788</v>
      </c>
      <c r="E244">
        <v>100</v>
      </c>
      <c r="F244" t="s">
        <v>1006</v>
      </c>
      <c r="G244">
        <v>2026</v>
      </c>
      <c r="H244" t="s">
        <v>1787</v>
      </c>
      <c r="I244" t="s">
        <v>2249</v>
      </c>
      <c r="J244" t="s">
        <v>1788</v>
      </c>
      <c r="K244" t="s">
        <v>1787</v>
      </c>
      <c r="M244" t="s">
        <v>952</v>
      </c>
      <c r="N244" t="s">
        <v>1790</v>
      </c>
      <c r="O244" t="s">
        <v>1793</v>
      </c>
    </row>
    <row r="245" spans="1:15" x14ac:dyDescent="0.35">
      <c r="A245" t="s">
        <v>2415</v>
      </c>
      <c r="B245" t="s">
        <v>2368</v>
      </c>
      <c r="C245" t="s">
        <v>1787</v>
      </c>
      <c r="D245" t="s">
        <v>1788</v>
      </c>
      <c r="E245">
        <v>100</v>
      </c>
      <c r="F245" t="s">
        <v>1006</v>
      </c>
      <c r="G245">
        <v>2026</v>
      </c>
      <c r="H245" t="s">
        <v>1787</v>
      </c>
      <c r="I245" t="s">
        <v>2249</v>
      </c>
      <c r="J245" t="s">
        <v>1788</v>
      </c>
      <c r="K245" t="s">
        <v>1787</v>
      </c>
      <c r="M245" t="s">
        <v>918</v>
      </c>
      <c r="N245" t="s">
        <v>1790</v>
      </c>
      <c r="O245" t="s">
        <v>1793</v>
      </c>
    </row>
    <row r="246" spans="1:15" x14ac:dyDescent="0.35">
      <c r="A246" t="s">
        <v>2450</v>
      </c>
      <c r="B246" t="s">
        <v>2368</v>
      </c>
      <c r="C246" t="s">
        <v>1787</v>
      </c>
      <c r="D246" t="s">
        <v>1788</v>
      </c>
      <c r="E246">
        <v>100</v>
      </c>
      <c r="F246" t="s">
        <v>1006</v>
      </c>
      <c r="G246">
        <v>2026</v>
      </c>
      <c r="H246" t="s">
        <v>1787</v>
      </c>
      <c r="I246" t="s">
        <v>2249</v>
      </c>
      <c r="J246" t="s">
        <v>1788</v>
      </c>
      <c r="K246" t="s">
        <v>1787</v>
      </c>
      <c r="M246" t="s">
        <v>969</v>
      </c>
      <c r="N246" t="s">
        <v>1790</v>
      </c>
      <c r="O246" t="s">
        <v>1793</v>
      </c>
    </row>
    <row r="247" spans="1:15" x14ac:dyDescent="0.35">
      <c r="A247" t="s">
        <v>1777</v>
      </c>
      <c r="B247" t="s">
        <v>1778</v>
      </c>
      <c r="C247" t="s">
        <v>1779</v>
      </c>
      <c r="D247" t="s">
        <v>932</v>
      </c>
      <c r="E247">
        <v>135</v>
      </c>
      <c r="F247" t="s">
        <v>1201</v>
      </c>
      <c r="G247">
        <v>2019</v>
      </c>
      <c r="H247" t="s">
        <v>1779</v>
      </c>
      <c r="I247" t="s">
        <v>1780</v>
      </c>
      <c r="J247" t="s">
        <v>919</v>
      </c>
      <c r="K247" t="s">
        <v>919</v>
      </c>
      <c r="M247" t="s">
        <v>952</v>
      </c>
      <c r="N247" t="s">
        <v>1781</v>
      </c>
      <c r="O247" t="s">
        <v>922</v>
      </c>
    </row>
    <row r="248" spans="1:15" x14ac:dyDescent="0.35">
      <c r="A248" t="s">
        <v>1782</v>
      </c>
      <c r="B248" t="s">
        <v>1783</v>
      </c>
      <c r="C248" t="s">
        <v>1779</v>
      </c>
      <c r="D248" t="s">
        <v>932</v>
      </c>
      <c r="E248">
        <v>135</v>
      </c>
      <c r="F248" t="s">
        <v>1201</v>
      </c>
      <c r="G248">
        <v>2019</v>
      </c>
      <c r="H248" t="s">
        <v>1779</v>
      </c>
      <c r="I248" t="s">
        <v>1780</v>
      </c>
      <c r="J248" t="s">
        <v>919</v>
      </c>
      <c r="K248" t="s">
        <v>919</v>
      </c>
      <c r="M248" t="s">
        <v>918</v>
      </c>
      <c r="N248" t="s">
        <v>1781</v>
      </c>
      <c r="O248" t="s">
        <v>922</v>
      </c>
    </row>
    <row r="249" spans="1:15" x14ac:dyDescent="0.35">
      <c r="A249" t="s">
        <v>879</v>
      </c>
      <c r="B249" t="s">
        <v>1784</v>
      </c>
      <c r="C249" t="s">
        <v>1779</v>
      </c>
      <c r="D249" t="s">
        <v>932</v>
      </c>
      <c r="E249">
        <v>135</v>
      </c>
      <c r="F249" t="s">
        <v>958</v>
      </c>
      <c r="G249">
        <v>2019</v>
      </c>
      <c r="H249" t="s">
        <v>1779</v>
      </c>
      <c r="I249" t="s">
        <v>1780</v>
      </c>
      <c r="J249" t="s">
        <v>919</v>
      </c>
      <c r="K249" t="s">
        <v>919</v>
      </c>
      <c r="M249" t="s">
        <v>918</v>
      </c>
      <c r="N249" t="s">
        <v>1669</v>
      </c>
      <c r="O249" t="s">
        <v>922</v>
      </c>
    </row>
    <row r="250" spans="1:15" x14ac:dyDescent="0.35">
      <c r="A250" t="s">
        <v>1748</v>
      </c>
      <c r="B250" t="s">
        <v>1749</v>
      </c>
      <c r="C250" t="s">
        <v>1750</v>
      </c>
      <c r="D250" t="s">
        <v>932</v>
      </c>
      <c r="E250">
        <v>150</v>
      </c>
      <c r="F250" t="s">
        <v>958</v>
      </c>
      <c r="G250">
        <v>2023</v>
      </c>
      <c r="H250" t="s">
        <v>1750</v>
      </c>
      <c r="I250" t="s">
        <v>1751</v>
      </c>
      <c r="J250" t="s">
        <v>919</v>
      </c>
      <c r="K250" t="s">
        <v>919</v>
      </c>
      <c r="M250" t="s">
        <v>920</v>
      </c>
      <c r="N250" t="s">
        <v>1669</v>
      </c>
      <c r="O250" t="s">
        <v>922</v>
      </c>
    </row>
    <row r="251" spans="1:15" x14ac:dyDescent="0.35">
      <c r="A251" t="s">
        <v>1752</v>
      </c>
      <c r="B251" t="s">
        <v>1753</v>
      </c>
      <c r="C251" t="s">
        <v>1750</v>
      </c>
      <c r="D251" t="s">
        <v>932</v>
      </c>
      <c r="E251">
        <v>150</v>
      </c>
      <c r="F251" t="s">
        <v>1006</v>
      </c>
      <c r="G251">
        <v>2023</v>
      </c>
      <c r="H251" t="s">
        <v>1750</v>
      </c>
      <c r="I251" t="s">
        <v>1751</v>
      </c>
      <c r="J251" t="s">
        <v>919</v>
      </c>
      <c r="K251" t="s">
        <v>919</v>
      </c>
      <c r="M251" t="s">
        <v>920</v>
      </c>
      <c r="N251" t="s">
        <v>1568</v>
      </c>
      <c r="O251" t="s">
        <v>922</v>
      </c>
    </row>
    <row r="252" spans="1:15" x14ac:dyDescent="0.35">
      <c r="A252" t="s">
        <v>1754</v>
      </c>
      <c r="B252" t="s">
        <v>1755</v>
      </c>
      <c r="C252" t="s">
        <v>1750</v>
      </c>
      <c r="D252" t="s">
        <v>932</v>
      </c>
      <c r="E252">
        <v>150</v>
      </c>
      <c r="F252" t="s">
        <v>958</v>
      </c>
      <c r="G252">
        <v>2022</v>
      </c>
      <c r="H252" t="s">
        <v>1750</v>
      </c>
      <c r="I252" t="s">
        <v>1751</v>
      </c>
      <c r="J252" t="s">
        <v>919</v>
      </c>
      <c r="K252" t="s">
        <v>919</v>
      </c>
      <c r="M252" t="s">
        <v>952</v>
      </c>
      <c r="N252" t="s">
        <v>1669</v>
      </c>
      <c r="O252" t="s">
        <v>922</v>
      </c>
    </row>
    <row r="253" spans="1:15" x14ac:dyDescent="0.35">
      <c r="A253" t="s">
        <v>401</v>
      </c>
      <c r="B253" t="s">
        <v>58</v>
      </c>
      <c r="C253" t="s">
        <v>1750</v>
      </c>
      <c r="D253" t="s">
        <v>932</v>
      </c>
      <c r="E253">
        <v>150</v>
      </c>
      <c r="F253" t="s">
        <v>958</v>
      </c>
      <c r="G253">
        <v>2022</v>
      </c>
      <c r="H253" t="s">
        <v>1750</v>
      </c>
      <c r="I253" t="s">
        <v>1751</v>
      </c>
      <c r="J253" t="s">
        <v>919</v>
      </c>
      <c r="K253" t="s">
        <v>919</v>
      </c>
      <c r="M253" t="s">
        <v>918</v>
      </c>
      <c r="N253" t="s">
        <v>1669</v>
      </c>
      <c r="O253" t="s">
        <v>922</v>
      </c>
    </row>
    <row r="254" spans="1:15" x14ac:dyDescent="0.35">
      <c r="A254" t="s">
        <v>1756</v>
      </c>
      <c r="B254" t="s">
        <v>1757</v>
      </c>
      <c r="C254" t="s">
        <v>1750</v>
      </c>
      <c r="D254" t="s">
        <v>932</v>
      </c>
      <c r="E254">
        <v>150</v>
      </c>
      <c r="F254" t="s">
        <v>958</v>
      </c>
      <c r="G254">
        <v>2020</v>
      </c>
      <c r="H254" t="s">
        <v>1750</v>
      </c>
      <c r="I254" t="s">
        <v>1751</v>
      </c>
      <c r="J254" t="s">
        <v>919</v>
      </c>
      <c r="K254" t="s">
        <v>919</v>
      </c>
      <c r="M254" t="s">
        <v>952</v>
      </c>
      <c r="N254" t="s">
        <v>1669</v>
      </c>
      <c r="O254" t="s">
        <v>922</v>
      </c>
    </row>
    <row r="255" spans="1:15" x14ac:dyDescent="0.35">
      <c r="A255" t="s">
        <v>1758</v>
      </c>
      <c r="B255" t="s">
        <v>1759</v>
      </c>
      <c r="C255" t="s">
        <v>1750</v>
      </c>
      <c r="D255" t="s">
        <v>932</v>
      </c>
      <c r="E255">
        <v>150</v>
      </c>
      <c r="F255" t="s">
        <v>958</v>
      </c>
      <c r="G255">
        <v>2020</v>
      </c>
      <c r="H255" t="s">
        <v>1750</v>
      </c>
      <c r="I255" t="s">
        <v>1751</v>
      </c>
      <c r="J255" t="s">
        <v>919</v>
      </c>
      <c r="K255" t="s">
        <v>919</v>
      </c>
      <c r="M255" t="s">
        <v>918</v>
      </c>
      <c r="N255" t="s">
        <v>1669</v>
      </c>
      <c r="O255" t="s">
        <v>922</v>
      </c>
    </row>
    <row r="256" spans="1:15" x14ac:dyDescent="0.35">
      <c r="A256" t="s">
        <v>1760</v>
      </c>
      <c r="B256" t="s">
        <v>1761</v>
      </c>
      <c r="C256" t="s">
        <v>1750</v>
      </c>
      <c r="D256" t="s">
        <v>932</v>
      </c>
      <c r="E256">
        <v>150</v>
      </c>
      <c r="F256" t="s">
        <v>958</v>
      </c>
      <c r="G256">
        <v>2021</v>
      </c>
      <c r="H256" t="s">
        <v>1750</v>
      </c>
      <c r="I256" t="s">
        <v>1751</v>
      </c>
      <c r="J256" t="s">
        <v>919</v>
      </c>
      <c r="K256" t="s">
        <v>919</v>
      </c>
      <c r="M256" t="s">
        <v>952</v>
      </c>
      <c r="N256" t="s">
        <v>1669</v>
      </c>
      <c r="O256" t="s">
        <v>922</v>
      </c>
    </row>
    <row r="257" spans="1:15" x14ac:dyDescent="0.35">
      <c r="A257" t="s">
        <v>402</v>
      </c>
      <c r="B257" t="s">
        <v>59</v>
      </c>
      <c r="C257" t="s">
        <v>1750</v>
      </c>
      <c r="D257" t="s">
        <v>932</v>
      </c>
      <c r="E257">
        <v>150</v>
      </c>
      <c r="F257" t="s">
        <v>958</v>
      </c>
      <c r="G257">
        <v>2021</v>
      </c>
      <c r="H257" t="s">
        <v>1750</v>
      </c>
      <c r="I257" t="s">
        <v>1751</v>
      </c>
      <c r="J257" t="s">
        <v>919</v>
      </c>
      <c r="K257" t="s">
        <v>919</v>
      </c>
      <c r="M257" t="s">
        <v>918</v>
      </c>
      <c r="N257" t="s">
        <v>1669</v>
      </c>
      <c r="O257" t="s">
        <v>922</v>
      </c>
    </row>
    <row r="258" spans="1:15" x14ac:dyDescent="0.35">
      <c r="A258" t="s">
        <v>1762</v>
      </c>
      <c r="B258" t="s">
        <v>1763</v>
      </c>
      <c r="C258" t="s">
        <v>1750</v>
      </c>
      <c r="D258" t="s">
        <v>932</v>
      </c>
      <c r="E258">
        <v>150</v>
      </c>
      <c r="F258" t="s">
        <v>958</v>
      </c>
      <c r="G258">
        <v>2022</v>
      </c>
      <c r="H258" t="s">
        <v>1750</v>
      </c>
      <c r="I258" t="s">
        <v>1751</v>
      </c>
      <c r="J258" t="s">
        <v>919</v>
      </c>
      <c r="K258" t="s">
        <v>919</v>
      </c>
      <c r="M258" t="s">
        <v>952</v>
      </c>
      <c r="N258" t="s">
        <v>1669</v>
      </c>
      <c r="O258" t="s">
        <v>922</v>
      </c>
    </row>
    <row r="259" spans="1:15" x14ac:dyDescent="0.35">
      <c r="A259" t="s">
        <v>403</v>
      </c>
      <c r="B259" t="s">
        <v>60</v>
      </c>
      <c r="C259" t="s">
        <v>1750</v>
      </c>
      <c r="D259" t="s">
        <v>932</v>
      </c>
      <c r="E259">
        <v>150</v>
      </c>
      <c r="F259" t="s">
        <v>958</v>
      </c>
      <c r="G259">
        <v>2022</v>
      </c>
      <c r="H259" t="s">
        <v>1750</v>
      </c>
      <c r="I259" t="s">
        <v>1751</v>
      </c>
      <c r="J259" t="s">
        <v>919</v>
      </c>
      <c r="K259" t="s">
        <v>919</v>
      </c>
      <c r="M259" t="s">
        <v>918</v>
      </c>
      <c r="N259" t="s">
        <v>1669</v>
      </c>
      <c r="O259" t="s">
        <v>922</v>
      </c>
    </row>
    <row r="260" spans="1:15" x14ac:dyDescent="0.35">
      <c r="A260" t="s">
        <v>1764</v>
      </c>
      <c r="B260" t="s">
        <v>1765</v>
      </c>
      <c r="C260" t="s">
        <v>1750</v>
      </c>
      <c r="D260" t="s">
        <v>932</v>
      </c>
      <c r="E260">
        <v>150</v>
      </c>
      <c r="F260" t="s">
        <v>958</v>
      </c>
      <c r="G260">
        <v>2023</v>
      </c>
      <c r="H260" t="s">
        <v>1750</v>
      </c>
      <c r="I260" t="s">
        <v>1751</v>
      </c>
      <c r="J260" t="s">
        <v>919</v>
      </c>
      <c r="K260" t="s">
        <v>919</v>
      </c>
      <c r="M260" t="s">
        <v>952</v>
      </c>
      <c r="N260" t="s">
        <v>1669</v>
      </c>
      <c r="O260" t="s">
        <v>922</v>
      </c>
    </row>
    <row r="261" spans="1:15" x14ac:dyDescent="0.35">
      <c r="A261" t="s">
        <v>1766</v>
      </c>
      <c r="B261" t="s">
        <v>1767</v>
      </c>
      <c r="C261" t="s">
        <v>1750</v>
      </c>
      <c r="D261" t="s">
        <v>932</v>
      </c>
      <c r="E261">
        <v>150</v>
      </c>
      <c r="F261" t="s">
        <v>958</v>
      </c>
      <c r="G261">
        <v>2022</v>
      </c>
      <c r="H261" t="s">
        <v>1750</v>
      </c>
      <c r="I261" t="s">
        <v>1751</v>
      </c>
      <c r="J261" t="s">
        <v>919</v>
      </c>
      <c r="K261" t="s">
        <v>919</v>
      </c>
      <c r="M261" t="s">
        <v>952</v>
      </c>
      <c r="N261" t="s">
        <v>1669</v>
      </c>
      <c r="O261" t="s">
        <v>922</v>
      </c>
    </row>
    <row r="262" spans="1:15" x14ac:dyDescent="0.35">
      <c r="A262" t="s">
        <v>1768</v>
      </c>
      <c r="B262" t="s">
        <v>1769</v>
      </c>
      <c r="C262" t="s">
        <v>1750</v>
      </c>
      <c r="D262" t="s">
        <v>932</v>
      </c>
      <c r="E262">
        <v>150</v>
      </c>
      <c r="F262" t="s">
        <v>958</v>
      </c>
      <c r="G262">
        <v>2022</v>
      </c>
      <c r="H262" t="s">
        <v>1750</v>
      </c>
      <c r="I262" t="s">
        <v>1751</v>
      </c>
      <c r="J262" t="s">
        <v>919</v>
      </c>
      <c r="K262" t="s">
        <v>919</v>
      </c>
      <c r="M262" t="s">
        <v>969</v>
      </c>
      <c r="N262" t="s">
        <v>1669</v>
      </c>
      <c r="O262" t="s">
        <v>922</v>
      </c>
    </row>
    <row r="263" spans="1:15" x14ac:dyDescent="0.35">
      <c r="A263" t="s">
        <v>1770</v>
      </c>
      <c r="B263" t="s">
        <v>1771</v>
      </c>
      <c r="C263" t="s">
        <v>1750</v>
      </c>
      <c r="D263" t="s">
        <v>932</v>
      </c>
      <c r="E263">
        <v>150</v>
      </c>
      <c r="F263" t="s">
        <v>958</v>
      </c>
      <c r="G263">
        <v>2022</v>
      </c>
      <c r="H263" t="s">
        <v>1750</v>
      </c>
      <c r="I263" t="s">
        <v>1751</v>
      </c>
      <c r="J263" t="s">
        <v>919</v>
      </c>
      <c r="K263" t="s">
        <v>919</v>
      </c>
      <c r="M263" t="s">
        <v>918</v>
      </c>
      <c r="N263" t="s">
        <v>1669</v>
      </c>
      <c r="O263" t="s">
        <v>922</v>
      </c>
    </row>
    <row r="264" spans="1:15" x14ac:dyDescent="0.35">
      <c r="A264" t="s">
        <v>325</v>
      </c>
      <c r="B264" t="s">
        <v>1772</v>
      </c>
      <c r="C264" t="s">
        <v>1750</v>
      </c>
      <c r="D264" t="s">
        <v>932</v>
      </c>
      <c r="E264">
        <v>150</v>
      </c>
      <c r="F264" t="s">
        <v>958</v>
      </c>
      <c r="G264">
        <v>2022</v>
      </c>
      <c r="H264" t="s">
        <v>1750</v>
      </c>
      <c r="I264" t="s">
        <v>1751</v>
      </c>
      <c r="J264" t="s">
        <v>919</v>
      </c>
      <c r="K264" t="s">
        <v>919</v>
      </c>
      <c r="M264" t="s">
        <v>918</v>
      </c>
      <c r="N264" t="s">
        <v>1669</v>
      </c>
      <c r="O264" t="s">
        <v>922</v>
      </c>
    </row>
    <row r="265" spans="1:15" x14ac:dyDescent="0.35">
      <c r="A265" t="s">
        <v>1773</v>
      </c>
      <c r="B265" t="s">
        <v>1774</v>
      </c>
      <c r="C265" t="s">
        <v>1750</v>
      </c>
      <c r="D265" t="s">
        <v>932</v>
      </c>
      <c r="E265">
        <v>150</v>
      </c>
      <c r="F265" t="s">
        <v>958</v>
      </c>
      <c r="G265">
        <v>2023</v>
      </c>
      <c r="H265" t="s">
        <v>1750</v>
      </c>
      <c r="I265" t="s">
        <v>1751</v>
      </c>
      <c r="J265" t="s">
        <v>919</v>
      </c>
      <c r="K265" t="s">
        <v>919</v>
      </c>
      <c r="M265" t="s">
        <v>952</v>
      </c>
      <c r="N265" t="s">
        <v>1669</v>
      </c>
      <c r="O265" t="s">
        <v>922</v>
      </c>
    </row>
    <row r="266" spans="1:15" x14ac:dyDescent="0.35">
      <c r="A266" t="s">
        <v>1775</v>
      </c>
      <c r="B266" t="s">
        <v>1776</v>
      </c>
      <c r="C266" t="s">
        <v>1750</v>
      </c>
      <c r="D266" t="s">
        <v>932</v>
      </c>
      <c r="E266">
        <v>150</v>
      </c>
      <c r="F266" t="s">
        <v>1006</v>
      </c>
      <c r="G266">
        <v>2023</v>
      </c>
      <c r="H266" t="s">
        <v>1750</v>
      </c>
      <c r="I266" t="s">
        <v>1751</v>
      </c>
      <c r="J266" t="s">
        <v>919</v>
      </c>
      <c r="K266" t="s">
        <v>919</v>
      </c>
      <c r="M266" t="s">
        <v>952</v>
      </c>
      <c r="N266" t="s">
        <v>1568</v>
      </c>
      <c r="O266" t="s">
        <v>922</v>
      </c>
    </row>
    <row r="267" spans="1:15" x14ac:dyDescent="0.35">
      <c r="A267" t="s">
        <v>1676</v>
      </c>
      <c r="B267" t="s">
        <v>1677</v>
      </c>
      <c r="C267" t="s">
        <v>1678</v>
      </c>
      <c r="D267" t="s">
        <v>932</v>
      </c>
      <c r="E267">
        <v>200</v>
      </c>
      <c r="F267" t="s">
        <v>951</v>
      </c>
      <c r="G267">
        <v>2022</v>
      </c>
      <c r="H267" t="s">
        <v>1678</v>
      </c>
      <c r="I267" t="s">
        <v>1678</v>
      </c>
      <c r="J267" t="s">
        <v>919</v>
      </c>
      <c r="K267" t="s">
        <v>919</v>
      </c>
      <c r="M267" t="s">
        <v>952</v>
      </c>
      <c r="N267" t="s">
        <v>1679</v>
      </c>
      <c r="O267" t="s">
        <v>922</v>
      </c>
    </row>
    <row r="268" spans="1:15" x14ac:dyDescent="0.35">
      <c r="A268" t="s">
        <v>1680</v>
      </c>
      <c r="B268" t="s">
        <v>1681</v>
      </c>
      <c r="C268" t="s">
        <v>1678</v>
      </c>
      <c r="D268" t="s">
        <v>932</v>
      </c>
      <c r="E268">
        <v>200</v>
      </c>
      <c r="F268" t="s">
        <v>933</v>
      </c>
      <c r="G268">
        <v>2022</v>
      </c>
      <c r="H268" t="s">
        <v>1678</v>
      </c>
      <c r="I268" t="s">
        <v>1678</v>
      </c>
      <c r="J268" t="s">
        <v>919</v>
      </c>
      <c r="K268" t="s">
        <v>919</v>
      </c>
      <c r="M268" t="s">
        <v>952</v>
      </c>
      <c r="N268" t="s">
        <v>1682</v>
      </c>
      <c r="O268" t="s">
        <v>922</v>
      </c>
    </row>
    <row r="269" spans="1:15" x14ac:dyDescent="0.35">
      <c r="A269" t="s">
        <v>1683</v>
      </c>
      <c r="B269" t="s">
        <v>1684</v>
      </c>
      <c r="C269" t="s">
        <v>1678</v>
      </c>
      <c r="D269" t="s">
        <v>932</v>
      </c>
      <c r="E269">
        <v>200</v>
      </c>
      <c r="F269" t="s">
        <v>942</v>
      </c>
      <c r="G269">
        <v>2022</v>
      </c>
      <c r="H269" t="s">
        <v>1678</v>
      </c>
      <c r="I269" t="s">
        <v>1678</v>
      </c>
      <c r="J269" t="s">
        <v>919</v>
      </c>
      <c r="K269" t="s">
        <v>919</v>
      </c>
      <c r="M269" t="s">
        <v>952</v>
      </c>
      <c r="N269" t="s">
        <v>1565</v>
      </c>
      <c r="O269" t="s">
        <v>922</v>
      </c>
    </row>
    <row r="270" spans="1:15" x14ac:dyDescent="0.35">
      <c r="A270" t="s">
        <v>391</v>
      </c>
      <c r="B270" t="s">
        <v>39</v>
      </c>
      <c r="C270" t="s">
        <v>1678</v>
      </c>
      <c r="D270" t="s">
        <v>932</v>
      </c>
      <c r="E270">
        <v>200</v>
      </c>
      <c r="F270" t="s">
        <v>942</v>
      </c>
      <c r="G270">
        <v>2022</v>
      </c>
      <c r="H270" t="s">
        <v>1678</v>
      </c>
      <c r="I270" t="s">
        <v>1678</v>
      </c>
      <c r="J270" t="s">
        <v>919</v>
      </c>
      <c r="K270" t="s">
        <v>919</v>
      </c>
      <c r="M270" t="s">
        <v>918</v>
      </c>
      <c r="N270" t="s">
        <v>1565</v>
      </c>
      <c r="O270" t="s">
        <v>922</v>
      </c>
    </row>
    <row r="271" spans="1:15" x14ac:dyDescent="0.35">
      <c r="A271" t="s">
        <v>1685</v>
      </c>
      <c r="B271" t="s">
        <v>1686</v>
      </c>
      <c r="C271" t="s">
        <v>1678</v>
      </c>
      <c r="D271" t="s">
        <v>932</v>
      </c>
      <c r="E271">
        <v>200</v>
      </c>
      <c r="F271" t="s">
        <v>942</v>
      </c>
      <c r="G271">
        <v>2022</v>
      </c>
      <c r="H271" t="s">
        <v>1678</v>
      </c>
      <c r="I271" t="s">
        <v>1678</v>
      </c>
      <c r="J271" t="s">
        <v>919</v>
      </c>
      <c r="K271" t="s">
        <v>919</v>
      </c>
      <c r="M271" t="s">
        <v>952</v>
      </c>
      <c r="N271" t="s">
        <v>1565</v>
      </c>
      <c r="O271" t="s">
        <v>922</v>
      </c>
    </row>
    <row r="272" spans="1:15" x14ac:dyDescent="0.35">
      <c r="A272" t="s">
        <v>392</v>
      </c>
      <c r="B272" t="s">
        <v>40</v>
      </c>
      <c r="C272" t="s">
        <v>1678</v>
      </c>
      <c r="D272" t="s">
        <v>932</v>
      </c>
      <c r="E272">
        <v>200</v>
      </c>
      <c r="F272" t="s">
        <v>942</v>
      </c>
      <c r="G272">
        <v>2022</v>
      </c>
      <c r="H272" t="s">
        <v>1678</v>
      </c>
      <c r="I272" t="s">
        <v>1678</v>
      </c>
      <c r="J272" t="s">
        <v>919</v>
      </c>
      <c r="K272" t="s">
        <v>919</v>
      </c>
      <c r="M272" t="s">
        <v>918</v>
      </c>
      <c r="N272" t="s">
        <v>1565</v>
      </c>
      <c r="O272" t="s">
        <v>922</v>
      </c>
    </row>
    <row r="273" spans="1:15" x14ac:dyDescent="0.35">
      <c r="A273" t="s">
        <v>1687</v>
      </c>
      <c r="B273" t="s">
        <v>1688</v>
      </c>
      <c r="C273" t="s">
        <v>1678</v>
      </c>
      <c r="D273" t="s">
        <v>932</v>
      </c>
      <c r="E273">
        <v>200</v>
      </c>
      <c r="F273" t="s">
        <v>1006</v>
      </c>
      <c r="G273">
        <v>2022</v>
      </c>
      <c r="H273" t="s">
        <v>1678</v>
      </c>
      <c r="I273" t="s">
        <v>1678</v>
      </c>
      <c r="J273" t="s">
        <v>919</v>
      </c>
      <c r="K273" t="s">
        <v>919</v>
      </c>
      <c r="M273" t="s">
        <v>952</v>
      </c>
      <c r="N273" t="s">
        <v>1568</v>
      </c>
      <c r="O273" t="s">
        <v>922</v>
      </c>
    </row>
    <row r="274" spans="1:15" x14ac:dyDescent="0.35">
      <c r="A274" t="s">
        <v>1689</v>
      </c>
      <c r="B274" t="s">
        <v>1690</v>
      </c>
      <c r="C274" t="s">
        <v>1678</v>
      </c>
      <c r="D274" t="s">
        <v>932</v>
      </c>
      <c r="E274">
        <v>200</v>
      </c>
      <c r="F274" t="s">
        <v>1006</v>
      </c>
      <c r="G274">
        <v>2022</v>
      </c>
      <c r="H274" t="s">
        <v>1678</v>
      </c>
      <c r="I274" t="s">
        <v>1678</v>
      </c>
      <c r="J274" t="s">
        <v>919</v>
      </c>
      <c r="K274" t="s">
        <v>919</v>
      </c>
      <c r="M274" t="s">
        <v>952</v>
      </c>
      <c r="N274" t="s">
        <v>1568</v>
      </c>
      <c r="O274" t="s">
        <v>922</v>
      </c>
    </row>
    <row r="275" spans="1:15" x14ac:dyDescent="0.35">
      <c r="A275" t="s">
        <v>1691</v>
      </c>
      <c r="B275" t="s">
        <v>1692</v>
      </c>
      <c r="C275" t="s">
        <v>1678</v>
      </c>
      <c r="D275" t="s">
        <v>932</v>
      </c>
      <c r="E275">
        <v>200</v>
      </c>
      <c r="F275" t="s">
        <v>1006</v>
      </c>
      <c r="G275">
        <v>2022</v>
      </c>
      <c r="H275" t="s">
        <v>1678</v>
      </c>
      <c r="I275" t="s">
        <v>1678</v>
      </c>
      <c r="J275" t="s">
        <v>919</v>
      </c>
      <c r="K275" t="s">
        <v>919</v>
      </c>
      <c r="M275" t="s">
        <v>918</v>
      </c>
      <c r="N275" t="s">
        <v>1568</v>
      </c>
      <c r="O275" t="s">
        <v>922</v>
      </c>
    </row>
    <row r="276" spans="1:15" x14ac:dyDescent="0.35">
      <c r="A276" t="s">
        <v>1693</v>
      </c>
      <c r="B276" t="s">
        <v>1694</v>
      </c>
      <c r="C276" t="s">
        <v>1678</v>
      </c>
      <c r="D276" t="s">
        <v>932</v>
      </c>
      <c r="E276">
        <v>200</v>
      </c>
      <c r="F276" t="s">
        <v>1006</v>
      </c>
      <c r="G276">
        <v>2023</v>
      </c>
      <c r="H276" t="s">
        <v>1678</v>
      </c>
      <c r="I276" t="s">
        <v>1678</v>
      </c>
      <c r="J276" t="s">
        <v>919</v>
      </c>
      <c r="K276" t="s">
        <v>919</v>
      </c>
      <c r="M276" t="s">
        <v>952</v>
      </c>
      <c r="N276" t="s">
        <v>1568</v>
      </c>
      <c r="O276" t="s">
        <v>922</v>
      </c>
    </row>
    <row r="277" spans="1:15" x14ac:dyDescent="0.35">
      <c r="A277" t="s">
        <v>1695</v>
      </c>
      <c r="B277" t="s">
        <v>1696</v>
      </c>
      <c r="C277" t="s">
        <v>1678</v>
      </c>
      <c r="D277" t="s">
        <v>932</v>
      </c>
      <c r="E277">
        <v>200</v>
      </c>
      <c r="F277" t="s">
        <v>951</v>
      </c>
      <c r="G277">
        <v>2022</v>
      </c>
      <c r="H277" t="s">
        <v>1678</v>
      </c>
      <c r="I277" t="s">
        <v>1678</v>
      </c>
      <c r="J277" t="s">
        <v>919</v>
      </c>
      <c r="K277" t="s">
        <v>919</v>
      </c>
      <c r="M277" t="s">
        <v>952</v>
      </c>
      <c r="N277" t="s">
        <v>1679</v>
      </c>
      <c r="O277" t="s">
        <v>922</v>
      </c>
    </row>
    <row r="278" spans="1:15" x14ac:dyDescent="0.35">
      <c r="A278" t="s">
        <v>1697</v>
      </c>
      <c r="B278" t="s">
        <v>1698</v>
      </c>
      <c r="C278" t="s">
        <v>1678</v>
      </c>
      <c r="D278" t="s">
        <v>932</v>
      </c>
      <c r="E278">
        <v>200</v>
      </c>
      <c r="F278" t="s">
        <v>1458</v>
      </c>
      <c r="G278">
        <v>2020</v>
      </c>
      <c r="H278" t="s">
        <v>1678</v>
      </c>
      <c r="I278" t="s">
        <v>1678</v>
      </c>
      <c r="J278" t="s">
        <v>919</v>
      </c>
      <c r="K278" t="s">
        <v>919</v>
      </c>
      <c r="M278" t="s">
        <v>952</v>
      </c>
      <c r="N278" t="s">
        <v>1699</v>
      </c>
      <c r="O278" t="s">
        <v>922</v>
      </c>
    </row>
    <row r="279" spans="1:15" x14ac:dyDescent="0.35">
      <c r="A279" t="s">
        <v>1700</v>
      </c>
      <c r="B279" t="s">
        <v>1701</v>
      </c>
      <c r="C279" t="s">
        <v>1678</v>
      </c>
      <c r="D279" t="s">
        <v>932</v>
      </c>
      <c r="E279">
        <v>200</v>
      </c>
      <c r="F279" t="s">
        <v>1458</v>
      </c>
      <c r="G279">
        <v>2020</v>
      </c>
      <c r="H279" t="s">
        <v>1678</v>
      </c>
      <c r="I279" t="s">
        <v>1678</v>
      </c>
      <c r="J279" t="s">
        <v>919</v>
      </c>
      <c r="K279" t="s">
        <v>919</v>
      </c>
      <c r="M279" t="s">
        <v>918</v>
      </c>
      <c r="N279" t="s">
        <v>1699</v>
      </c>
      <c r="O279" t="s">
        <v>922</v>
      </c>
    </row>
    <row r="280" spans="1:15" x14ac:dyDescent="0.35">
      <c r="A280" t="s">
        <v>1702</v>
      </c>
      <c r="B280" t="s">
        <v>1703</v>
      </c>
      <c r="C280" t="s">
        <v>1678</v>
      </c>
      <c r="D280" t="s">
        <v>932</v>
      </c>
      <c r="E280">
        <v>200</v>
      </c>
      <c r="F280" t="s">
        <v>1458</v>
      </c>
      <c r="G280">
        <v>2021</v>
      </c>
      <c r="H280" t="s">
        <v>1678</v>
      </c>
      <c r="I280" t="s">
        <v>1678</v>
      </c>
      <c r="J280" t="s">
        <v>919</v>
      </c>
      <c r="K280" t="s">
        <v>919</v>
      </c>
      <c r="M280" t="s">
        <v>952</v>
      </c>
      <c r="N280" t="s">
        <v>1699</v>
      </c>
      <c r="O280" t="s">
        <v>922</v>
      </c>
    </row>
    <row r="281" spans="1:15" x14ac:dyDescent="0.35">
      <c r="A281" t="s">
        <v>844</v>
      </c>
      <c r="B281" t="s">
        <v>1704</v>
      </c>
      <c r="C281" t="s">
        <v>1678</v>
      </c>
      <c r="D281" t="s">
        <v>932</v>
      </c>
      <c r="E281">
        <v>200</v>
      </c>
      <c r="F281" t="s">
        <v>1458</v>
      </c>
      <c r="G281">
        <v>2021</v>
      </c>
      <c r="H281" t="s">
        <v>1678</v>
      </c>
      <c r="I281" t="s">
        <v>1678</v>
      </c>
      <c r="J281" t="s">
        <v>919</v>
      </c>
      <c r="K281" t="s">
        <v>919</v>
      </c>
      <c r="M281" t="s">
        <v>918</v>
      </c>
      <c r="N281" t="s">
        <v>1699</v>
      </c>
      <c r="O281" t="s">
        <v>922</v>
      </c>
    </row>
    <row r="282" spans="1:15" x14ac:dyDescent="0.35">
      <c r="A282" t="s">
        <v>1705</v>
      </c>
      <c r="B282" t="s">
        <v>1706</v>
      </c>
      <c r="C282" t="s">
        <v>1678</v>
      </c>
      <c r="D282" t="s">
        <v>932</v>
      </c>
      <c r="E282">
        <v>200</v>
      </c>
      <c r="F282" t="s">
        <v>951</v>
      </c>
      <c r="G282">
        <v>2022</v>
      </c>
      <c r="H282" t="s">
        <v>1678</v>
      </c>
      <c r="I282" t="s">
        <v>1678</v>
      </c>
      <c r="J282" t="s">
        <v>919</v>
      </c>
      <c r="K282" t="s">
        <v>919</v>
      </c>
      <c r="M282" t="s">
        <v>952</v>
      </c>
      <c r="N282" t="s">
        <v>1679</v>
      </c>
      <c r="O282" t="s">
        <v>922</v>
      </c>
    </row>
    <row r="283" spans="1:15" x14ac:dyDescent="0.35">
      <c r="A283" t="s">
        <v>1707</v>
      </c>
      <c r="B283" t="s">
        <v>1708</v>
      </c>
      <c r="C283" t="s">
        <v>1678</v>
      </c>
      <c r="D283" t="s">
        <v>932</v>
      </c>
      <c r="E283">
        <v>200</v>
      </c>
      <c r="F283" t="s">
        <v>951</v>
      </c>
      <c r="G283">
        <v>2022</v>
      </c>
      <c r="H283" t="s">
        <v>1678</v>
      </c>
      <c r="I283" t="s">
        <v>1678</v>
      </c>
      <c r="J283" t="s">
        <v>919</v>
      </c>
      <c r="K283" t="s">
        <v>919</v>
      </c>
      <c r="M283" t="s">
        <v>918</v>
      </c>
      <c r="N283" t="s">
        <v>1679</v>
      </c>
      <c r="O283" t="s">
        <v>922</v>
      </c>
    </row>
    <row r="284" spans="1:15" x14ac:dyDescent="0.35">
      <c r="A284" t="s">
        <v>1709</v>
      </c>
      <c r="B284" t="s">
        <v>1710</v>
      </c>
      <c r="C284" t="s">
        <v>1678</v>
      </c>
      <c r="D284" t="s">
        <v>932</v>
      </c>
      <c r="E284">
        <v>200</v>
      </c>
      <c r="F284" t="s">
        <v>951</v>
      </c>
      <c r="G284">
        <v>2022</v>
      </c>
      <c r="H284" t="s">
        <v>1678</v>
      </c>
      <c r="I284" t="s">
        <v>1678</v>
      </c>
      <c r="J284" t="s">
        <v>919</v>
      </c>
      <c r="K284" t="s">
        <v>919</v>
      </c>
      <c r="M284" t="s">
        <v>952</v>
      </c>
      <c r="N284" t="s">
        <v>1679</v>
      </c>
      <c r="O284" t="s">
        <v>922</v>
      </c>
    </row>
    <row r="285" spans="1:15" x14ac:dyDescent="0.35">
      <c r="A285" t="s">
        <v>1711</v>
      </c>
      <c r="B285" t="s">
        <v>1712</v>
      </c>
      <c r="C285" t="s">
        <v>1678</v>
      </c>
      <c r="D285" t="s">
        <v>932</v>
      </c>
      <c r="E285">
        <v>200</v>
      </c>
      <c r="F285" t="s">
        <v>958</v>
      </c>
      <c r="G285">
        <v>2022</v>
      </c>
      <c r="H285" t="s">
        <v>1678</v>
      </c>
      <c r="I285" t="s">
        <v>1678</v>
      </c>
      <c r="J285" t="s">
        <v>919</v>
      </c>
      <c r="K285" t="s">
        <v>919</v>
      </c>
      <c r="M285" t="s">
        <v>952</v>
      </c>
      <c r="N285" t="s">
        <v>1669</v>
      </c>
      <c r="O285" t="s">
        <v>922</v>
      </c>
    </row>
    <row r="286" spans="1:15" x14ac:dyDescent="0.35">
      <c r="A286" t="s">
        <v>883</v>
      </c>
      <c r="B286" t="s">
        <v>1713</v>
      </c>
      <c r="C286" t="s">
        <v>1678</v>
      </c>
      <c r="D286" t="s">
        <v>932</v>
      </c>
      <c r="E286">
        <v>200</v>
      </c>
      <c r="F286" t="s">
        <v>958</v>
      </c>
      <c r="G286">
        <v>2022</v>
      </c>
      <c r="H286" t="s">
        <v>1678</v>
      </c>
      <c r="I286" t="s">
        <v>1678</v>
      </c>
      <c r="J286" t="s">
        <v>919</v>
      </c>
      <c r="K286" t="s">
        <v>919</v>
      </c>
      <c r="M286" t="s">
        <v>918</v>
      </c>
      <c r="N286" t="s">
        <v>1669</v>
      </c>
      <c r="O286" t="s">
        <v>922</v>
      </c>
    </row>
    <row r="287" spans="1:15" x14ac:dyDescent="0.35">
      <c r="A287" t="s">
        <v>845</v>
      </c>
      <c r="B287" t="s">
        <v>1714</v>
      </c>
      <c r="C287" t="s">
        <v>1678</v>
      </c>
      <c r="D287" t="s">
        <v>932</v>
      </c>
      <c r="E287">
        <v>200</v>
      </c>
      <c r="F287" t="s">
        <v>958</v>
      </c>
      <c r="G287">
        <v>2023</v>
      </c>
      <c r="H287" t="s">
        <v>1678</v>
      </c>
      <c r="I287" t="s">
        <v>1678</v>
      </c>
      <c r="J287" t="s">
        <v>919</v>
      </c>
      <c r="K287" t="s">
        <v>919</v>
      </c>
      <c r="M287" t="s">
        <v>918</v>
      </c>
      <c r="N287" t="s">
        <v>1669</v>
      </c>
      <c r="O287" t="s">
        <v>922</v>
      </c>
    </row>
    <row r="288" spans="1:15" x14ac:dyDescent="0.35">
      <c r="A288" t="s">
        <v>1715</v>
      </c>
      <c r="B288" t="s">
        <v>1716</v>
      </c>
      <c r="C288" t="s">
        <v>1678</v>
      </c>
      <c r="D288" t="s">
        <v>932</v>
      </c>
      <c r="E288">
        <v>200</v>
      </c>
      <c r="F288" t="s">
        <v>933</v>
      </c>
      <c r="G288">
        <v>2022</v>
      </c>
      <c r="H288" t="s">
        <v>1678</v>
      </c>
      <c r="I288" t="s">
        <v>1678</v>
      </c>
      <c r="J288" t="s">
        <v>919</v>
      </c>
      <c r="K288" t="s">
        <v>919</v>
      </c>
      <c r="M288" t="s">
        <v>952</v>
      </c>
      <c r="N288" t="s">
        <v>1682</v>
      </c>
      <c r="O288" t="s">
        <v>922</v>
      </c>
    </row>
    <row r="289" spans="1:15" x14ac:dyDescent="0.35">
      <c r="A289" t="s">
        <v>586</v>
      </c>
      <c r="B289" t="s">
        <v>1717</v>
      </c>
      <c r="C289" t="s">
        <v>1678</v>
      </c>
      <c r="D289" t="s">
        <v>932</v>
      </c>
      <c r="E289">
        <v>200</v>
      </c>
      <c r="F289" t="s">
        <v>933</v>
      </c>
      <c r="G289">
        <v>2022</v>
      </c>
      <c r="H289" t="s">
        <v>1678</v>
      </c>
      <c r="I289" t="s">
        <v>1678</v>
      </c>
      <c r="J289" t="s">
        <v>919</v>
      </c>
      <c r="K289" t="s">
        <v>919</v>
      </c>
      <c r="M289" t="s">
        <v>918</v>
      </c>
      <c r="N289" t="s">
        <v>1682</v>
      </c>
      <c r="O289" t="s">
        <v>922</v>
      </c>
    </row>
    <row r="290" spans="1:15" x14ac:dyDescent="0.35">
      <c r="A290" t="s">
        <v>1718</v>
      </c>
      <c r="B290" t="s">
        <v>1719</v>
      </c>
      <c r="C290" t="s">
        <v>1678</v>
      </c>
      <c r="D290" t="s">
        <v>932</v>
      </c>
      <c r="E290">
        <v>200</v>
      </c>
      <c r="F290" t="s">
        <v>933</v>
      </c>
      <c r="G290">
        <v>2023</v>
      </c>
      <c r="H290" t="s">
        <v>1678</v>
      </c>
      <c r="I290" t="s">
        <v>1678</v>
      </c>
      <c r="J290" t="s">
        <v>919</v>
      </c>
      <c r="K290" t="s">
        <v>919</v>
      </c>
      <c r="M290" t="s">
        <v>952</v>
      </c>
      <c r="N290" t="s">
        <v>1682</v>
      </c>
      <c r="O290" t="s">
        <v>922</v>
      </c>
    </row>
    <row r="291" spans="1:15" x14ac:dyDescent="0.35">
      <c r="A291" t="s">
        <v>380</v>
      </c>
      <c r="B291" t="s">
        <v>1720</v>
      </c>
      <c r="C291" t="s">
        <v>1678</v>
      </c>
      <c r="D291" t="s">
        <v>932</v>
      </c>
      <c r="E291">
        <v>200</v>
      </c>
      <c r="F291" t="s">
        <v>933</v>
      </c>
      <c r="G291">
        <v>2023</v>
      </c>
      <c r="H291" t="s">
        <v>1678</v>
      </c>
      <c r="I291" t="s">
        <v>1678</v>
      </c>
      <c r="J291" t="s">
        <v>919</v>
      </c>
      <c r="K291" t="s">
        <v>919</v>
      </c>
      <c r="M291" t="s">
        <v>918</v>
      </c>
      <c r="N291" t="s">
        <v>1682</v>
      </c>
      <c r="O291" t="s">
        <v>922</v>
      </c>
    </row>
    <row r="292" spans="1:15" x14ac:dyDescent="0.35">
      <c r="A292" t="s">
        <v>1721</v>
      </c>
      <c r="B292" t="s">
        <v>1722</v>
      </c>
      <c r="C292" t="s">
        <v>1678</v>
      </c>
      <c r="D292" t="s">
        <v>932</v>
      </c>
      <c r="E292">
        <v>200</v>
      </c>
      <c r="F292" t="s">
        <v>958</v>
      </c>
      <c r="G292">
        <v>2019</v>
      </c>
      <c r="H292" t="s">
        <v>1678</v>
      </c>
      <c r="I292" t="s">
        <v>1678</v>
      </c>
      <c r="J292" t="s">
        <v>919</v>
      </c>
      <c r="K292" t="s">
        <v>919</v>
      </c>
      <c r="M292" t="s">
        <v>952</v>
      </c>
      <c r="N292" t="s">
        <v>1669</v>
      </c>
      <c r="O292" t="s">
        <v>922</v>
      </c>
    </row>
    <row r="293" spans="1:15" x14ac:dyDescent="0.35">
      <c r="A293" t="s">
        <v>1723</v>
      </c>
      <c r="B293" t="s">
        <v>1724</v>
      </c>
      <c r="C293" t="s">
        <v>1678</v>
      </c>
      <c r="D293" t="s">
        <v>932</v>
      </c>
      <c r="E293">
        <v>200</v>
      </c>
      <c r="F293" t="s">
        <v>958</v>
      </c>
      <c r="G293">
        <v>2020</v>
      </c>
      <c r="H293" t="s">
        <v>1678</v>
      </c>
      <c r="I293" t="s">
        <v>1678</v>
      </c>
      <c r="J293" t="s">
        <v>919</v>
      </c>
      <c r="K293" t="s">
        <v>919</v>
      </c>
      <c r="M293" t="s">
        <v>952</v>
      </c>
      <c r="N293" t="s">
        <v>1669</v>
      </c>
      <c r="O293" t="s">
        <v>922</v>
      </c>
    </row>
    <row r="294" spans="1:15" x14ac:dyDescent="0.35">
      <c r="A294" t="s">
        <v>884</v>
      </c>
      <c r="B294" t="s">
        <v>1725</v>
      </c>
      <c r="C294" t="s">
        <v>1678</v>
      </c>
      <c r="D294" t="s">
        <v>932</v>
      </c>
      <c r="E294">
        <v>200</v>
      </c>
      <c r="F294" t="s">
        <v>958</v>
      </c>
      <c r="G294">
        <v>2020</v>
      </c>
      <c r="H294" t="s">
        <v>1678</v>
      </c>
      <c r="I294" t="s">
        <v>1678</v>
      </c>
      <c r="J294" t="s">
        <v>919</v>
      </c>
      <c r="K294" t="s">
        <v>919</v>
      </c>
      <c r="M294" t="s">
        <v>918</v>
      </c>
      <c r="N294" t="s">
        <v>1669</v>
      </c>
      <c r="O294" t="s">
        <v>922</v>
      </c>
    </row>
    <row r="295" spans="1:15" x14ac:dyDescent="0.35">
      <c r="A295" t="s">
        <v>1726</v>
      </c>
      <c r="B295" t="s">
        <v>1727</v>
      </c>
      <c r="C295" t="s">
        <v>1678</v>
      </c>
      <c r="D295" t="s">
        <v>932</v>
      </c>
      <c r="E295">
        <v>200</v>
      </c>
      <c r="F295" t="s">
        <v>958</v>
      </c>
      <c r="G295">
        <v>2021</v>
      </c>
      <c r="H295" t="s">
        <v>1678</v>
      </c>
      <c r="I295" t="s">
        <v>1678</v>
      </c>
      <c r="J295" t="s">
        <v>919</v>
      </c>
      <c r="K295" t="s">
        <v>919</v>
      </c>
      <c r="M295" t="s">
        <v>952</v>
      </c>
      <c r="N295" t="s">
        <v>1669</v>
      </c>
      <c r="O295" t="s">
        <v>922</v>
      </c>
    </row>
    <row r="296" spans="1:15" x14ac:dyDescent="0.35">
      <c r="A296" t="s">
        <v>847</v>
      </c>
      <c r="B296" t="s">
        <v>1728</v>
      </c>
      <c r="C296" t="s">
        <v>1678</v>
      </c>
      <c r="D296" t="s">
        <v>932</v>
      </c>
      <c r="E296">
        <v>200</v>
      </c>
      <c r="F296" t="s">
        <v>958</v>
      </c>
      <c r="G296">
        <v>2021</v>
      </c>
      <c r="H296" t="s">
        <v>1678</v>
      </c>
      <c r="I296" t="s">
        <v>1678</v>
      </c>
      <c r="J296" t="s">
        <v>919</v>
      </c>
      <c r="K296" t="s">
        <v>919</v>
      </c>
      <c r="M296" t="s">
        <v>918</v>
      </c>
      <c r="N296" t="s">
        <v>1669</v>
      </c>
      <c r="O296" t="s">
        <v>922</v>
      </c>
    </row>
    <row r="297" spans="1:15" x14ac:dyDescent="0.35">
      <c r="A297" t="s">
        <v>1729</v>
      </c>
      <c r="B297" t="s">
        <v>1730</v>
      </c>
      <c r="C297" t="s">
        <v>1678</v>
      </c>
      <c r="D297" t="s">
        <v>932</v>
      </c>
      <c r="E297">
        <v>200</v>
      </c>
      <c r="F297" t="s">
        <v>942</v>
      </c>
      <c r="G297">
        <v>2022</v>
      </c>
      <c r="H297" t="s">
        <v>1678</v>
      </c>
      <c r="I297" t="s">
        <v>1678</v>
      </c>
      <c r="J297" t="s">
        <v>919</v>
      </c>
      <c r="K297" t="s">
        <v>919</v>
      </c>
      <c r="M297" t="s">
        <v>952</v>
      </c>
      <c r="N297" t="s">
        <v>1565</v>
      </c>
      <c r="O297" t="s">
        <v>922</v>
      </c>
    </row>
    <row r="298" spans="1:15" x14ac:dyDescent="0.35">
      <c r="A298" t="s">
        <v>1731</v>
      </c>
      <c r="B298" t="s">
        <v>1732</v>
      </c>
      <c r="C298" t="s">
        <v>1678</v>
      </c>
      <c r="D298" t="s">
        <v>932</v>
      </c>
      <c r="E298">
        <v>200</v>
      </c>
      <c r="F298" t="s">
        <v>942</v>
      </c>
      <c r="G298">
        <v>2023</v>
      </c>
      <c r="H298" t="s">
        <v>1678</v>
      </c>
      <c r="I298" t="s">
        <v>1678</v>
      </c>
      <c r="J298" t="s">
        <v>919</v>
      </c>
      <c r="K298" t="s">
        <v>919</v>
      </c>
      <c r="M298" t="s">
        <v>952</v>
      </c>
      <c r="N298" t="s">
        <v>1565</v>
      </c>
      <c r="O298" t="s">
        <v>922</v>
      </c>
    </row>
    <row r="299" spans="1:15" x14ac:dyDescent="0.35">
      <c r="A299" t="s">
        <v>1733</v>
      </c>
      <c r="B299" t="s">
        <v>1734</v>
      </c>
      <c r="C299" t="s">
        <v>1678</v>
      </c>
      <c r="D299" t="s">
        <v>932</v>
      </c>
      <c r="E299">
        <v>200</v>
      </c>
      <c r="F299" t="s">
        <v>1366</v>
      </c>
      <c r="G299">
        <v>2022</v>
      </c>
      <c r="H299" t="s">
        <v>1678</v>
      </c>
      <c r="I299" t="s">
        <v>1678</v>
      </c>
      <c r="J299" t="s">
        <v>919</v>
      </c>
      <c r="K299" t="s">
        <v>919</v>
      </c>
      <c r="M299" t="s">
        <v>918</v>
      </c>
      <c r="N299" t="s">
        <v>1735</v>
      </c>
      <c r="O299" t="s">
        <v>922</v>
      </c>
    </row>
    <row r="300" spans="1:15" x14ac:dyDescent="0.35">
      <c r="A300" t="s">
        <v>1736</v>
      </c>
      <c r="B300" t="s">
        <v>1737</v>
      </c>
      <c r="C300" t="s">
        <v>1678</v>
      </c>
      <c r="D300" t="s">
        <v>932</v>
      </c>
      <c r="E300">
        <v>200</v>
      </c>
      <c r="F300" t="s">
        <v>1006</v>
      </c>
      <c r="G300">
        <v>2021</v>
      </c>
      <c r="H300" t="s">
        <v>1678</v>
      </c>
      <c r="I300" t="s">
        <v>1678</v>
      </c>
      <c r="J300" t="s">
        <v>919</v>
      </c>
      <c r="K300" t="s">
        <v>919</v>
      </c>
      <c r="M300" t="s">
        <v>952</v>
      </c>
      <c r="N300" t="s">
        <v>1568</v>
      </c>
      <c r="O300" t="s">
        <v>922</v>
      </c>
    </row>
    <row r="301" spans="1:15" x14ac:dyDescent="0.35">
      <c r="A301" t="s">
        <v>1738</v>
      </c>
      <c r="B301" t="s">
        <v>1739</v>
      </c>
      <c r="C301" t="s">
        <v>1678</v>
      </c>
      <c r="D301" t="s">
        <v>932</v>
      </c>
      <c r="E301">
        <v>200</v>
      </c>
      <c r="F301" t="s">
        <v>1006</v>
      </c>
      <c r="G301">
        <v>2022</v>
      </c>
      <c r="H301" t="s">
        <v>1678</v>
      </c>
      <c r="I301" t="s">
        <v>1678</v>
      </c>
      <c r="J301" t="s">
        <v>919</v>
      </c>
      <c r="K301" t="s">
        <v>919</v>
      </c>
      <c r="M301" t="s">
        <v>952</v>
      </c>
      <c r="N301" t="s">
        <v>1568</v>
      </c>
      <c r="O301" t="s">
        <v>922</v>
      </c>
    </row>
    <row r="302" spans="1:15" x14ac:dyDescent="0.35">
      <c r="A302" t="s">
        <v>393</v>
      </c>
      <c r="B302" t="s">
        <v>41</v>
      </c>
      <c r="C302" t="s">
        <v>1678</v>
      </c>
      <c r="D302" t="s">
        <v>932</v>
      </c>
      <c r="E302">
        <v>200</v>
      </c>
      <c r="F302" t="s">
        <v>1006</v>
      </c>
      <c r="G302">
        <v>2022</v>
      </c>
      <c r="H302" t="s">
        <v>1678</v>
      </c>
      <c r="I302" t="s">
        <v>1678</v>
      </c>
      <c r="J302" t="s">
        <v>919</v>
      </c>
      <c r="K302" t="s">
        <v>919</v>
      </c>
      <c r="M302" t="s">
        <v>918</v>
      </c>
      <c r="N302" t="s">
        <v>1568</v>
      </c>
      <c r="O302" t="s">
        <v>922</v>
      </c>
    </row>
    <row r="303" spans="1:15" x14ac:dyDescent="0.35">
      <c r="A303" t="s">
        <v>1740</v>
      </c>
      <c r="B303" t="s">
        <v>1741</v>
      </c>
      <c r="C303" t="s">
        <v>1678</v>
      </c>
      <c r="D303" t="s">
        <v>932</v>
      </c>
      <c r="E303">
        <v>200</v>
      </c>
      <c r="F303" t="s">
        <v>1006</v>
      </c>
      <c r="G303">
        <v>2023</v>
      </c>
      <c r="H303" t="s">
        <v>1678</v>
      </c>
      <c r="I303" t="s">
        <v>1678</v>
      </c>
      <c r="J303" t="s">
        <v>919</v>
      </c>
      <c r="K303" t="s">
        <v>919</v>
      </c>
      <c r="M303" t="s">
        <v>952</v>
      </c>
      <c r="N303" t="s">
        <v>1568</v>
      </c>
      <c r="O303" t="s">
        <v>922</v>
      </c>
    </row>
    <row r="304" spans="1:15" x14ac:dyDescent="0.35">
      <c r="A304" t="s">
        <v>339</v>
      </c>
      <c r="B304" t="s">
        <v>42</v>
      </c>
      <c r="C304" t="s">
        <v>1678</v>
      </c>
      <c r="D304" t="s">
        <v>932</v>
      </c>
      <c r="E304">
        <v>200</v>
      </c>
      <c r="F304" t="s">
        <v>1006</v>
      </c>
      <c r="G304">
        <v>2023</v>
      </c>
      <c r="H304" t="s">
        <v>1678</v>
      </c>
      <c r="I304" t="s">
        <v>1678</v>
      </c>
      <c r="J304" t="s">
        <v>919</v>
      </c>
      <c r="K304" t="s">
        <v>919</v>
      </c>
      <c r="M304" t="s">
        <v>918</v>
      </c>
      <c r="N304" t="s">
        <v>1568</v>
      </c>
      <c r="O304" t="s">
        <v>922</v>
      </c>
    </row>
    <row r="305" spans="1:15" x14ac:dyDescent="0.35">
      <c r="A305" t="s">
        <v>882</v>
      </c>
      <c r="B305" t="s">
        <v>1742</v>
      </c>
      <c r="C305" t="s">
        <v>1678</v>
      </c>
      <c r="D305" t="s">
        <v>932</v>
      </c>
      <c r="E305">
        <v>200</v>
      </c>
      <c r="F305" t="s">
        <v>951</v>
      </c>
      <c r="G305">
        <v>2022</v>
      </c>
      <c r="H305" t="s">
        <v>1678</v>
      </c>
      <c r="I305" t="s">
        <v>1678</v>
      </c>
      <c r="J305" t="s">
        <v>919</v>
      </c>
      <c r="K305" t="s">
        <v>919</v>
      </c>
      <c r="M305" t="s">
        <v>918</v>
      </c>
      <c r="N305" t="s">
        <v>1679</v>
      </c>
      <c r="O305" t="s">
        <v>922</v>
      </c>
    </row>
    <row r="306" spans="1:15" x14ac:dyDescent="0.35">
      <c r="A306" t="s">
        <v>1743</v>
      </c>
      <c r="B306" t="s">
        <v>1744</v>
      </c>
      <c r="C306" t="s">
        <v>1678</v>
      </c>
      <c r="D306" t="s">
        <v>932</v>
      </c>
      <c r="E306">
        <v>200</v>
      </c>
      <c r="F306" t="s">
        <v>917</v>
      </c>
      <c r="G306">
        <v>2020</v>
      </c>
      <c r="H306" t="s">
        <v>1678</v>
      </c>
      <c r="I306" t="s">
        <v>1678</v>
      </c>
      <c r="J306" t="s">
        <v>919</v>
      </c>
      <c r="K306" t="s">
        <v>919</v>
      </c>
      <c r="M306" t="s">
        <v>918</v>
      </c>
      <c r="N306" t="s">
        <v>921</v>
      </c>
      <c r="O306" t="s">
        <v>922</v>
      </c>
    </row>
    <row r="307" spans="1:15" x14ac:dyDescent="0.35">
      <c r="A307" t="s">
        <v>846</v>
      </c>
      <c r="B307" t="s">
        <v>1745</v>
      </c>
      <c r="C307" t="s">
        <v>1678</v>
      </c>
      <c r="D307" t="s">
        <v>932</v>
      </c>
      <c r="E307">
        <v>200</v>
      </c>
      <c r="F307" t="s">
        <v>958</v>
      </c>
      <c r="G307">
        <v>2019</v>
      </c>
      <c r="H307" t="s">
        <v>1678</v>
      </c>
      <c r="I307" t="s">
        <v>1678</v>
      </c>
      <c r="J307" t="s">
        <v>919</v>
      </c>
      <c r="K307" t="s">
        <v>919</v>
      </c>
      <c r="M307" t="s">
        <v>918</v>
      </c>
      <c r="N307" t="s">
        <v>1669</v>
      </c>
      <c r="O307" t="s">
        <v>922</v>
      </c>
    </row>
    <row r="308" spans="1:15" x14ac:dyDescent="0.35">
      <c r="A308" t="s">
        <v>1746</v>
      </c>
      <c r="B308" t="s">
        <v>1747</v>
      </c>
      <c r="C308" t="s">
        <v>1678</v>
      </c>
      <c r="D308" t="s">
        <v>932</v>
      </c>
      <c r="E308">
        <v>200</v>
      </c>
      <c r="F308" t="s">
        <v>1006</v>
      </c>
      <c r="G308">
        <v>2020</v>
      </c>
      <c r="H308" t="s">
        <v>1678</v>
      </c>
      <c r="I308" t="s">
        <v>1678</v>
      </c>
      <c r="J308" t="s">
        <v>919</v>
      </c>
      <c r="K308" t="s">
        <v>919</v>
      </c>
      <c r="M308" t="s">
        <v>918</v>
      </c>
      <c r="N308" t="s">
        <v>1568</v>
      </c>
      <c r="O308" t="s">
        <v>922</v>
      </c>
    </row>
    <row r="309" spans="1:15" x14ac:dyDescent="0.35">
      <c r="A309" t="s">
        <v>1665</v>
      </c>
      <c r="B309" t="s">
        <v>1666</v>
      </c>
      <c r="C309" t="s">
        <v>1667</v>
      </c>
      <c r="D309" t="s">
        <v>932</v>
      </c>
      <c r="E309">
        <v>220</v>
      </c>
      <c r="F309" t="s">
        <v>958</v>
      </c>
      <c r="G309">
        <v>2020</v>
      </c>
      <c r="H309" t="s">
        <v>1667</v>
      </c>
      <c r="I309" t="s">
        <v>1668</v>
      </c>
      <c r="J309" t="s">
        <v>919</v>
      </c>
      <c r="K309" t="s">
        <v>919</v>
      </c>
      <c r="M309" t="s">
        <v>952</v>
      </c>
      <c r="N309" t="s">
        <v>1669</v>
      </c>
      <c r="O309" t="s">
        <v>922</v>
      </c>
    </row>
    <row r="310" spans="1:15" x14ac:dyDescent="0.35">
      <c r="A310" t="s">
        <v>1670</v>
      </c>
      <c r="B310" t="s">
        <v>1671</v>
      </c>
      <c r="C310" t="s">
        <v>1667</v>
      </c>
      <c r="D310" t="s">
        <v>932</v>
      </c>
      <c r="E310">
        <v>220</v>
      </c>
      <c r="F310" t="s">
        <v>958</v>
      </c>
      <c r="G310">
        <v>2020</v>
      </c>
      <c r="H310" t="s">
        <v>1667</v>
      </c>
      <c r="I310" t="s">
        <v>1668</v>
      </c>
      <c r="J310" t="s">
        <v>919</v>
      </c>
      <c r="K310" t="s">
        <v>919</v>
      </c>
      <c r="M310" t="s">
        <v>918</v>
      </c>
      <c r="N310" t="s">
        <v>1669</v>
      </c>
      <c r="O310" t="s">
        <v>922</v>
      </c>
    </row>
    <row r="311" spans="1:15" x14ac:dyDescent="0.35">
      <c r="A311" t="s">
        <v>1672</v>
      </c>
      <c r="B311" t="s">
        <v>1673</v>
      </c>
      <c r="C311" t="s">
        <v>1667</v>
      </c>
      <c r="D311" t="s">
        <v>932</v>
      </c>
      <c r="E311">
        <v>220</v>
      </c>
      <c r="F311" t="s">
        <v>958</v>
      </c>
      <c r="G311">
        <v>2021</v>
      </c>
      <c r="H311" t="s">
        <v>1667</v>
      </c>
      <c r="I311" t="s">
        <v>1668</v>
      </c>
      <c r="J311" t="s">
        <v>919</v>
      </c>
      <c r="K311" t="s">
        <v>919</v>
      </c>
      <c r="M311" t="s">
        <v>952</v>
      </c>
      <c r="N311" t="s">
        <v>1669</v>
      </c>
      <c r="O311" t="s">
        <v>922</v>
      </c>
    </row>
    <row r="312" spans="1:15" x14ac:dyDescent="0.35">
      <c r="A312" t="s">
        <v>404</v>
      </c>
      <c r="B312" t="s">
        <v>61</v>
      </c>
      <c r="C312" t="s">
        <v>1667</v>
      </c>
      <c r="D312" t="s">
        <v>932</v>
      </c>
      <c r="E312">
        <v>220</v>
      </c>
      <c r="F312" t="s">
        <v>958</v>
      </c>
      <c r="G312">
        <v>2021</v>
      </c>
      <c r="H312" t="s">
        <v>1667</v>
      </c>
      <c r="I312" t="s">
        <v>1668</v>
      </c>
      <c r="J312" t="s">
        <v>919</v>
      </c>
      <c r="K312" t="s">
        <v>919</v>
      </c>
      <c r="M312" t="s">
        <v>918</v>
      </c>
      <c r="N312" t="s">
        <v>1669</v>
      </c>
      <c r="O312" t="s">
        <v>922</v>
      </c>
    </row>
    <row r="313" spans="1:15" x14ac:dyDescent="0.35">
      <c r="A313" t="s">
        <v>1674</v>
      </c>
      <c r="B313" t="s">
        <v>1675</v>
      </c>
      <c r="C313" t="s">
        <v>1667</v>
      </c>
      <c r="D313" t="s">
        <v>932</v>
      </c>
      <c r="E313">
        <v>220</v>
      </c>
      <c r="F313" t="s">
        <v>958</v>
      </c>
      <c r="G313">
        <v>2022</v>
      </c>
      <c r="H313" t="s">
        <v>1667</v>
      </c>
      <c r="I313" t="s">
        <v>1668</v>
      </c>
      <c r="J313" t="s">
        <v>919</v>
      </c>
      <c r="K313" t="s">
        <v>919</v>
      </c>
      <c r="M313" t="s">
        <v>952</v>
      </c>
      <c r="N313" t="s">
        <v>1669</v>
      </c>
      <c r="O313" t="s">
        <v>922</v>
      </c>
    </row>
    <row r="314" spans="1:15" x14ac:dyDescent="0.35">
      <c r="A314" t="s">
        <v>405</v>
      </c>
      <c r="B314" t="s">
        <v>62</v>
      </c>
      <c r="C314" t="s">
        <v>1667</v>
      </c>
      <c r="D314" t="s">
        <v>932</v>
      </c>
      <c r="E314">
        <v>220</v>
      </c>
      <c r="F314" t="s">
        <v>958</v>
      </c>
      <c r="G314">
        <v>2022</v>
      </c>
      <c r="H314" t="s">
        <v>1667</v>
      </c>
      <c r="I314" t="s">
        <v>1668</v>
      </c>
      <c r="J314" t="s">
        <v>919</v>
      </c>
      <c r="K314" t="s">
        <v>919</v>
      </c>
      <c r="M314" t="s">
        <v>918</v>
      </c>
      <c r="N314" t="s">
        <v>1669</v>
      </c>
      <c r="O314" t="s">
        <v>922</v>
      </c>
    </row>
    <row r="315" spans="1:15" x14ac:dyDescent="0.35">
      <c r="A315" t="s">
        <v>1654</v>
      </c>
      <c r="B315" t="s">
        <v>1655</v>
      </c>
      <c r="C315" t="s">
        <v>1656</v>
      </c>
      <c r="D315" t="s">
        <v>932</v>
      </c>
      <c r="E315">
        <v>250</v>
      </c>
      <c r="F315" t="s">
        <v>1006</v>
      </c>
      <c r="G315">
        <v>2025</v>
      </c>
      <c r="H315" t="s">
        <v>1656</v>
      </c>
      <c r="I315" t="s">
        <v>1656</v>
      </c>
      <c r="J315" t="s">
        <v>1657</v>
      </c>
      <c r="K315" t="s">
        <v>1658</v>
      </c>
      <c r="M315" t="s">
        <v>920</v>
      </c>
      <c r="N315" t="s">
        <v>1659</v>
      </c>
      <c r="O315" t="s">
        <v>1660</v>
      </c>
    </row>
    <row r="316" spans="1:15" x14ac:dyDescent="0.35">
      <c r="A316" t="s">
        <v>1661</v>
      </c>
      <c r="B316" t="s">
        <v>1662</v>
      </c>
      <c r="C316" t="s">
        <v>1656</v>
      </c>
      <c r="D316" t="s">
        <v>932</v>
      </c>
      <c r="E316">
        <v>250</v>
      </c>
      <c r="F316" t="s">
        <v>958</v>
      </c>
      <c r="G316">
        <v>2025</v>
      </c>
      <c r="H316" t="s">
        <v>1656</v>
      </c>
      <c r="I316" t="s">
        <v>1656</v>
      </c>
      <c r="J316" t="s">
        <v>1657</v>
      </c>
      <c r="K316" t="s">
        <v>1658</v>
      </c>
      <c r="M316" t="s">
        <v>920</v>
      </c>
      <c r="N316" t="s">
        <v>1663</v>
      </c>
      <c r="O316" t="s">
        <v>1664</v>
      </c>
    </row>
    <row r="317" spans="1:15" x14ac:dyDescent="0.35">
      <c r="A317" t="s">
        <v>2289</v>
      </c>
      <c r="B317" t="s">
        <v>2290</v>
      </c>
      <c r="C317" t="s">
        <v>1656</v>
      </c>
      <c r="D317" t="s">
        <v>932</v>
      </c>
      <c r="E317">
        <v>250</v>
      </c>
      <c r="F317" t="s">
        <v>958</v>
      </c>
      <c r="G317">
        <v>2026</v>
      </c>
      <c r="H317" t="s">
        <v>1656</v>
      </c>
      <c r="I317" t="s">
        <v>1656</v>
      </c>
      <c r="J317" t="s">
        <v>1657</v>
      </c>
      <c r="K317" t="s">
        <v>1658</v>
      </c>
      <c r="M317" t="s">
        <v>920</v>
      </c>
      <c r="N317" t="s">
        <v>1663</v>
      </c>
      <c r="O317" t="s">
        <v>1660</v>
      </c>
    </row>
    <row r="318" spans="1:15" x14ac:dyDescent="0.35">
      <c r="A318" t="s">
        <v>2291</v>
      </c>
      <c r="B318" t="s">
        <v>2292</v>
      </c>
      <c r="C318" t="s">
        <v>1656</v>
      </c>
      <c r="D318" t="s">
        <v>932</v>
      </c>
      <c r="E318">
        <v>250</v>
      </c>
      <c r="F318" t="s">
        <v>942</v>
      </c>
      <c r="G318">
        <v>2026</v>
      </c>
      <c r="H318" t="s">
        <v>1656</v>
      </c>
      <c r="I318" t="s">
        <v>1656</v>
      </c>
      <c r="J318" t="s">
        <v>2293</v>
      </c>
      <c r="K318" t="s">
        <v>1658</v>
      </c>
      <c r="M318" t="s">
        <v>920</v>
      </c>
      <c r="N318" t="s">
        <v>2294</v>
      </c>
      <c r="O318" t="s">
        <v>2295</v>
      </c>
    </row>
    <row r="319" spans="1:15" x14ac:dyDescent="0.35">
      <c r="A319" t="s">
        <v>2296</v>
      </c>
      <c r="B319" t="s">
        <v>2297</v>
      </c>
      <c r="C319" t="s">
        <v>1656</v>
      </c>
      <c r="D319" t="s">
        <v>932</v>
      </c>
      <c r="E319">
        <v>250</v>
      </c>
      <c r="F319" t="s">
        <v>1006</v>
      </c>
      <c r="G319">
        <v>2026</v>
      </c>
      <c r="H319" t="s">
        <v>1656</v>
      </c>
      <c r="I319" t="s">
        <v>1656</v>
      </c>
      <c r="J319" t="s">
        <v>1657</v>
      </c>
      <c r="K319" t="s">
        <v>1658</v>
      </c>
      <c r="M319" t="s">
        <v>920</v>
      </c>
      <c r="N319" t="s">
        <v>1659</v>
      </c>
      <c r="O319" t="s">
        <v>1664</v>
      </c>
    </row>
    <row r="320" spans="1:15" x14ac:dyDescent="0.35">
      <c r="A320" t="s">
        <v>2395</v>
      </c>
      <c r="B320" t="s">
        <v>2396</v>
      </c>
      <c r="C320" t="s">
        <v>1656</v>
      </c>
      <c r="D320" t="s">
        <v>932</v>
      </c>
      <c r="E320">
        <v>250</v>
      </c>
      <c r="F320" t="s">
        <v>958</v>
      </c>
      <c r="G320">
        <v>2026</v>
      </c>
      <c r="H320" t="s">
        <v>1656</v>
      </c>
      <c r="I320" t="s">
        <v>1656</v>
      </c>
      <c r="J320" t="s">
        <v>1657</v>
      </c>
      <c r="K320" t="s">
        <v>1658</v>
      </c>
      <c r="M320" t="s">
        <v>952</v>
      </c>
      <c r="N320" t="s">
        <v>1663</v>
      </c>
      <c r="O320" t="s">
        <v>1660</v>
      </c>
    </row>
    <row r="321" spans="1:15" x14ac:dyDescent="0.35">
      <c r="A321" t="s">
        <v>2397</v>
      </c>
      <c r="B321" t="s">
        <v>2398</v>
      </c>
      <c r="C321" t="s">
        <v>1656</v>
      </c>
      <c r="D321" t="s">
        <v>932</v>
      </c>
      <c r="E321">
        <v>250</v>
      </c>
      <c r="F321" t="s">
        <v>942</v>
      </c>
      <c r="G321">
        <v>2026</v>
      </c>
      <c r="H321" t="s">
        <v>1656</v>
      </c>
      <c r="I321" t="s">
        <v>1656</v>
      </c>
      <c r="J321" t="s">
        <v>2293</v>
      </c>
      <c r="K321" t="s">
        <v>1658</v>
      </c>
      <c r="M321" t="s">
        <v>952</v>
      </c>
      <c r="N321" t="s">
        <v>2294</v>
      </c>
      <c r="O321" t="s">
        <v>2295</v>
      </c>
    </row>
    <row r="322" spans="1:15" x14ac:dyDescent="0.35">
      <c r="A322" t="s">
        <v>2399</v>
      </c>
      <c r="B322" t="s">
        <v>2400</v>
      </c>
      <c r="C322" t="s">
        <v>1656</v>
      </c>
      <c r="D322" t="s">
        <v>932</v>
      </c>
      <c r="E322">
        <v>250</v>
      </c>
      <c r="F322" t="s">
        <v>1006</v>
      </c>
      <c r="G322">
        <v>2026</v>
      </c>
      <c r="H322" t="s">
        <v>1656</v>
      </c>
      <c r="I322" t="s">
        <v>1656</v>
      </c>
      <c r="J322" t="s">
        <v>1657</v>
      </c>
      <c r="K322" t="s">
        <v>1658</v>
      </c>
      <c r="M322" t="s">
        <v>952</v>
      </c>
      <c r="N322" t="s">
        <v>1659</v>
      </c>
      <c r="O322" t="s">
        <v>1664</v>
      </c>
    </row>
    <row r="323" spans="1:15" x14ac:dyDescent="0.35">
      <c r="A323" t="s">
        <v>2423</v>
      </c>
      <c r="B323" t="s">
        <v>2396</v>
      </c>
      <c r="C323" t="s">
        <v>1656</v>
      </c>
      <c r="D323" t="s">
        <v>932</v>
      </c>
      <c r="E323">
        <v>250</v>
      </c>
      <c r="F323" t="s">
        <v>958</v>
      </c>
      <c r="G323">
        <v>2026</v>
      </c>
      <c r="H323" t="s">
        <v>1656</v>
      </c>
      <c r="I323" t="s">
        <v>1656</v>
      </c>
      <c r="J323" t="s">
        <v>1657</v>
      </c>
      <c r="K323" t="s">
        <v>1658</v>
      </c>
      <c r="M323" t="s">
        <v>918</v>
      </c>
      <c r="N323" t="s">
        <v>1663</v>
      </c>
      <c r="O323" t="s">
        <v>1660</v>
      </c>
    </row>
    <row r="324" spans="1:15" x14ac:dyDescent="0.35">
      <c r="A324" t="s">
        <v>2424</v>
      </c>
      <c r="B324" t="s">
        <v>2398</v>
      </c>
      <c r="C324" t="s">
        <v>1656</v>
      </c>
      <c r="D324" t="s">
        <v>932</v>
      </c>
      <c r="E324">
        <v>250</v>
      </c>
      <c r="F324" t="s">
        <v>942</v>
      </c>
      <c r="G324">
        <v>2026</v>
      </c>
      <c r="H324" t="s">
        <v>1656</v>
      </c>
      <c r="I324" t="s">
        <v>1656</v>
      </c>
      <c r="J324" t="s">
        <v>2293</v>
      </c>
      <c r="K324" t="s">
        <v>1658</v>
      </c>
      <c r="M324" t="s">
        <v>918</v>
      </c>
      <c r="N324" t="s">
        <v>2294</v>
      </c>
      <c r="O324" t="s">
        <v>2295</v>
      </c>
    </row>
    <row r="325" spans="1:15" x14ac:dyDescent="0.35">
      <c r="A325" t="s">
        <v>382</v>
      </c>
      <c r="B325" t="s">
        <v>2400</v>
      </c>
      <c r="C325" t="s">
        <v>1656</v>
      </c>
      <c r="D325" t="s">
        <v>932</v>
      </c>
      <c r="E325">
        <v>250</v>
      </c>
      <c r="F325" t="s">
        <v>1006</v>
      </c>
      <c r="G325">
        <v>2026</v>
      </c>
      <c r="H325" t="s">
        <v>1656</v>
      </c>
      <c r="I325" t="s">
        <v>1656</v>
      </c>
      <c r="J325" t="s">
        <v>1657</v>
      </c>
      <c r="K325" t="s">
        <v>1658</v>
      </c>
      <c r="M325" t="s">
        <v>918</v>
      </c>
      <c r="N325" t="s">
        <v>1659</v>
      </c>
      <c r="O325" t="s">
        <v>1664</v>
      </c>
    </row>
    <row r="326" spans="1:15" x14ac:dyDescent="0.35">
      <c r="A326" t="s">
        <v>2464</v>
      </c>
      <c r="B326" t="s">
        <v>2396</v>
      </c>
      <c r="C326" t="s">
        <v>1656</v>
      </c>
      <c r="D326" t="s">
        <v>932</v>
      </c>
      <c r="E326">
        <v>250</v>
      </c>
      <c r="F326" t="s">
        <v>958</v>
      </c>
      <c r="G326">
        <v>2026</v>
      </c>
      <c r="H326" t="s">
        <v>1656</v>
      </c>
      <c r="I326" t="s">
        <v>1656</v>
      </c>
      <c r="J326" t="s">
        <v>1657</v>
      </c>
      <c r="K326" t="s">
        <v>1658</v>
      </c>
      <c r="M326" t="s">
        <v>969</v>
      </c>
      <c r="N326" t="s">
        <v>1663</v>
      </c>
      <c r="O326" t="s">
        <v>1660</v>
      </c>
    </row>
    <row r="327" spans="1:15" x14ac:dyDescent="0.35">
      <c r="A327" t="s">
        <v>2465</v>
      </c>
      <c r="B327" t="s">
        <v>2398</v>
      </c>
      <c r="C327" t="s">
        <v>1656</v>
      </c>
      <c r="D327" t="s">
        <v>932</v>
      </c>
      <c r="E327">
        <v>250</v>
      </c>
      <c r="F327" t="s">
        <v>942</v>
      </c>
      <c r="G327">
        <v>2026</v>
      </c>
      <c r="H327" t="s">
        <v>1656</v>
      </c>
      <c r="I327" t="s">
        <v>1656</v>
      </c>
      <c r="J327" t="s">
        <v>2293</v>
      </c>
      <c r="K327" t="s">
        <v>1658</v>
      </c>
      <c r="M327" t="s">
        <v>969</v>
      </c>
      <c r="N327" t="s">
        <v>2294</v>
      </c>
      <c r="O327" t="s">
        <v>2295</v>
      </c>
    </row>
    <row r="328" spans="1:15" x14ac:dyDescent="0.35">
      <c r="A328" t="s">
        <v>2466</v>
      </c>
      <c r="B328" t="s">
        <v>2400</v>
      </c>
      <c r="C328" t="s">
        <v>1656</v>
      </c>
      <c r="D328" t="s">
        <v>932</v>
      </c>
      <c r="E328">
        <v>250</v>
      </c>
      <c r="F328" t="s">
        <v>1006</v>
      </c>
      <c r="G328">
        <v>2026</v>
      </c>
      <c r="H328" t="s">
        <v>1656</v>
      </c>
      <c r="I328" t="s">
        <v>1656</v>
      </c>
      <c r="J328" t="s">
        <v>1657</v>
      </c>
      <c r="K328" t="s">
        <v>1658</v>
      </c>
      <c r="M328" t="s">
        <v>969</v>
      </c>
      <c r="N328" t="s">
        <v>1659</v>
      </c>
      <c r="O328" t="s">
        <v>1664</v>
      </c>
    </row>
    <row r="329" spans="1:15" x14ac:dyDescent="0.35">
      <c r="A329" t="s">
        <v>1585</v>
      </c>
      <c r="B329" t="s">
        <v>1586</v>
      </c>
      <c r="C329" t="s">
        <v>1587</v>
      </c>
      <c r="D329" t="s">
        <v>932</v>
      </c>
      <c r="E329">
        <v>125</v>
      </c>
      <c r="F329" t="s">
        <v>1458</v>
      </c>
      <c r="G329">
        <v>2024</v>
      </c>
      <c r="H329" t="s">
        <v>1587</v>
      </c>
      <c r="I329" t="s">
        <v>1588</v>
      </c>
      <c r="J329" t="s">
        <v>1356</v>
      </c>
      <c r="K329" t="s">
        <v>1587</v>
      </c>
      <c r="L329" t="s">
        <v>1589</v>
      </c>
      <c r="M329" t="s">
        <v>920</v>
      </c>
      <c r="N329" t="s">
        <v>1590</v>
      </c>
      <c r="O329" t="s">
        <v>922</v>
      </c>
    </row>
    <row r="330" spans="1:15" x14ac:dyDescent="0.35">
      <c r="A330" t="s">
        <v>1591</v>
      </c>
      <c r="B330" t="s">
        <v>1592</v>
      </c>
      <c r="C330" t="s">
        <v>1587</v>
      </c>
      <c r="D330" t="s">
        <v>932</v>
      </c>
      <c r="E330">
        <v>125</v>
      </c>
      <c r="F330" t="s">
        <v>1458</v>
      </c>
      <c r="G330">
        <v>2025</v>
      </c>
      <c r="H330" t="s">
        <v>1587</v>
      </c>
      <c r="I330" t="s">
        <v>1588</v>
      </c>
      <c r="J330" t="s">
        <v>1356</v>
      </c>
      <c r="K330" t="s">
        <v>1587</v>
      </c>
      <c r="L330" t="s">
        <v>1589</v>
      </c>
      <c r="M330" t="s">
        <v>920</v>
      </c>
      <c r="N330" t="s">
        <v>1590</v>
      </c>
      <c r="O330" t="s">
        <v>1593</v>
      </c>
    </row>
    <row r="331" spans="1:15" x14ac:dyDescent="0.35">
      <c r="A331" t="s">
        <v>1594</v>
      </c>
      <c r="B331" t="s">
        <v>1595</v>
      </c>
      <c r="C331" t="s">
        <v>1587</v>
      </c>
      <c r="D331" t="s">
        <v>932</v>
      </c>
      <c r="E331">
        <v>125</v>
      </c>
      <c r="F331" t="s">
        <v>958</v>
      </c>
      <c r="G331">
        <v>2025</v>
      </c>
      <c r="H331" t="s">
        <v>1587</v>
      </c>
      <c r="I331" t="s">
        <v>1588</v>
      </c>
      <c r="J331" t="s">
        <v>1356</v>
      </c>
      <c r="K331" t="s">
        <v>1587</v>
      </c>
      <c r="L331" t="s">
        <v>1589</v>
      </c>
      <c r="M331" t="s">
        <v>920</v>
      </c>
      <c r="N331" t="s">
        <v>1596</v>
      </c>
      <c r="O331" t="s">
        <v>1597</v>
      </c>
    </row>
    <row r="332" spans="1:15" x14ac:dyDescent="0.35">
      <c r="A332" t="s">
        <v>1598</v>
      </c>
      <c r="B332" t="s">
        <v>1599</v>
      </c>
      <c r="C332" t="s">
        <v>1587</v>
      </c>
      <c r="D332" t="s">
        <v>932</v>
      </c>
      <c r="E332">
        <v>125</v>
      </c>
      <c r="F332" t="s">
        <v>1006</v>
      </c>
      <c r="G332">
        <v>2022</v>
      </c>
      <c r="H332" t="s">
        <v>1587</v>
      </c>
      <c r="I332" t="s">
        <v>1588</v>
      </c>
      <c r="J332" t="s">
        <v>1356</v>
      </c>
      <c r="K332" t="s">
        <v>1587</v>
      </c>
      <c r="L332" t="s">
        <v>1589</v>
      </c>
      <c r="M332" t="s">
        <v>952</v>
      </c>
      <c r="N332" t="s">
        <v>1600</v>
      </c>
      <c r="O332" t="s">
        <v>922</v>
      </c>
    </row>
    <row r="333" spans="1:15" x14ac:dyDescent="0.35">
      <c r="A333" t="s">
        <v>1601</v>
      </c>
      <c r="B333" t="s">
        <v>1602</v>
      </c>
      <c r="C333" t="s">
        <v>1587</v>
      </c>
      <c r="D333" t="s">
        <v>932</v>
      </c>
      <c r="E333">
        <v>125</v>
      </c>
      <c r="F333" t="s">
        <v>1458</v>
      </c>
      <c r="G333">
        <v>2024</v>
      </c>
      <c r="H333" t="s">
        <v>1587</v>
      </c>
      <c r="I333" t="s">
        <v>1588</v>
      </c>
      <c r="J333" t="s">
        <v>1356</v>
      </c>
      <c r="K333" t="s">
        <v>1587</v>
      </c>
      <c r="L333" t="s">
        <v>1589</v>
      </c>
      <c r="M333" t="s">
        <v>952</v>
      </c>
      <c r="N333" t="s">
        <v>1590</v>
      </c>
      <c r="O333" t="s">
        <v>922</v>
      </c>
    </row>
    <row r="334" spans="1:15" x14ac:dyDescent="0.35">
      <c r="A334" t="s">
        <v>408</v>
      </c>
      <c r="B334" t="s">
        <v>1603</v>
      </c>
      <c r="C334" t="s">
        <v>1587</v>
      </c>
      <c r="D334" t="s">
        <v>932</v>
      </c>
      <c r="E334">
        <v>125</v>
      </c>
      <c r="F334" t="s">
        <v>1458</v>
      </c>
      <c r="G334">
        <v>2024</v>
      </c>
      <c r="H334" t="s">
        <v>1587</v>
      </c>
      <c r="I334" t="s">
        <v>1588</v>
      </c>
      <c r="J334" t="s">
        <v>1356</v>
      </c>
      <c r="K334" t="s">
        <v>1587</v>
      </c>
      <c r="L334" t="s">
        <v>1589</v>
      </c>
      <c r="M334" t="s">
        <v>918</v>
      </c>
      <c r="N334" t="s">
        <v>1590</v>
      </c>
      <c r="O334" t="s">
        <v>922</v>
      </c>
    </row>
    <row r="335" spans="1:15" x14ac:dyDescent="0.35">
      <c r="A335" t="s">
        <v>1604</v>
      </c>
      <c r="B335" t="s">
        <v>1605</v>
      </c>
      <c r="C335" t="s">
        <v>1587</v>
      </c>
      <c r="D335" t="s">
        <v>932</v>
      </c>
      <c r="E335">
        <v>125</v>
      </c>
      <c r="F335" t="s">
        <v>958</v>
      </c>
      <c r="G335">
        <v>2024</v>
      </c>
      <c r="H335" t="s">
        <v>1587</v>
      </c>
      <c r="I335" t="s">
        <v>1588</v>
      </c>
      <c r="J335" t="s">
        <v>1356</v>
      </c>
      <c r="K335" t="s">
        <v>1587</v>
      </c>
      <c r="L335" t="s">
        <v>1589</v>
      </c>
      <c r="M335" t="s">
        <v>952</v>
      </c>
      <c r="N335" t="s">
        <v>1596</v>
      </c>
      <c r="O335" t="s">
        <v>922</v>
      </c>
    </row>
    <row r="336" spans="1:15" x14ac:dyDescent="0.35">
      <c r="A336" t="s">
        <v>409</v>
      </c>
      <c r="B336" t="s">
        <v>1606</v>
      </c>
      <c r="C336" t="s">
        <v>1587</v>
      </c>
      <c r="D336" t="s">
        <v>932</v>
      </c>
      <c r="E336">
        <v>125</v>
      </c>
      <c r="F336" t="s">
        <v>958</v>
      </c>
      <c r="G336">
        <v>2024</v>
      </c>
      <c r="H336" t="s">
        <v>1587</v>
      </c>
      <c r="I336" t="s">
        <v>1588</v>
      </c>
      <c r="J336" t="s">
        <v>1356</v>
      </c>
      <c r="K336" t="s">
        <v>1587</v>
      </c>
      <c r="L336" t="s">
        <v>1589</v>
      </c>
      <c r="M336" t="s">
        <v>918</v>
      </c>
      <c r="N336" t="s">
        <v>1596</v>
      </c>
      <c r="O336" t="s">
        <v>922</v>
      </c>
    </row>
    <row r="337" spans="1:15" x14ac:dyDescent="0.35">
      <c r="A337" t="s">
        <v>835</v>
      </c>
      <c r="B337" t="s">
        <v>1607</v>
      </c>
      <c r="C337" t="s">
        <v>1587</v>
      </c>
      <c r="D337" t="s">
        <v>932</v>
      </c>
      <c r="E337">
        <v>125</v>
      </c>
      <c r="F337" t="s">
        <v>1458</v>
      </c>
      <c r="G337">
        <v>2019</v>
      </c>
      <c r="H337" t="s">
        <v>1587</v>
      </c>
      <c r="I337" t="s">
        <v>1588</v>
      </c>
      <c r="J337" t="s">
        <v>1356</v>
      </c>
      <c r="K337" t="s">
        <v>1587</v>
      </c>
      <c r="L337" t="s">
        <v>1589</v>
      </c>
      <c r="M337" t="s">
        <v>918</v>
      </c>
      <c r="N337" t="s">
        <v>1590</v>
      </c>
      <c r="O337" t="s">
        <v>922</v>
      </c>
    </row>
    <row r="338" spans="1:15" x14ac:dyDescent="0.35">
      <c r="A338" t="s">
        <v>1608</v>
      </c>
      <c r="B338" t="s">
        <v>1609</v>
      </c>
      <c r="C338" t="s">
        <v>1587</v>
      </c>
      <c r="D338" t="s">
        <v>932</v>
      </c>
      <c r="E338">
        <v>125</v>
      </c>
      <c r="F338" t="s">
        <v>1458</v>
      </c>
      <c r="G338">
        <v>2020</v>
      </c>
      <c r="H338" t="s">
        <v>1587</v>
      </c>
      <c r="I338" t="s">
        <v>1588</v>
      </c>
      <c r="J338" t="s">
        <v>1356</v>
      </c>
      <c r="K338" t="s">
        <v>1587</v>
      </c>
      <c r="L338" t="s">
        <v>1589</v>
      </c>
      <c r="M338" t="s">
        <v>952</v>
      </c>
      <c r="N338" t="s">
        <v>1590</v>
      </c>
      <c r="O338" t="s">
        <v>922</v>
      </c>
    </row>
    <row r="339" spans="1:15" x14ac:dyDescent="0.35">
      <c r="A339" t="s">
        <v>878</v>
      </c>
      <c r="B339" t="s">
        <v>1610</v>
      </c>
      <c r="C339" t="s">
        <v>1587</v>
      </c>
      <c r="D339" t="s">
        <v>932</v>
      </c>
      <c r="E339">
        <v>125</v>
      </c>
      <c r="F339" t="s">
        <v>1458</v>
      </c>
      <c r="G339">
        <v>2020</v>
      </c>
      <c r="H339" t="s">
        <v>1587</v>
      </c>
      <c r="I339" t="s">
        <v>1588</v>
      </c>
      <c r="J339" t="s">
        <v>1356</v>
      </c>
      <c r="K339" t="s">
        <v>1587</v>
      </c>
      <c r="L339" t="s">
        <v>1589</v>
      </c>
      <c r="M339" t="s">
        <v>918</v>
      </c>
      <c r="N339" t="s">
        <v>1590</v>
      </c>
      <c r="O339" t="s">
        <v>922</v>
      </c>
    </row>
    <row r="340" spans="1:15" x14ac:dyDescent="0.35">
      <c r="A340" t="s">
        <v>1611</v>
      </c>
      <c r="B340" t="s">
        <v>1612</v>
      </c>
      <c r="C340" t="s">
        <v>1587</v>
      </c>
      <c r="D340" t="s">
        <v>932</v>
      </c>
      <c r="E340">
        <v>125</v>
      </c>
      <c r="F340" t="s">
        <v>1458</v>
      </c>
      <c r="G340">
        <v>2021</v>
      </c>
      <c r="H340" t="s">
        <v>1587</v>
      </c>
      <c r="I340" t="s">
        <v>1588</v>
      </c>
      <c r="J340" t="s">
        <v>1356</v>
      </c>
      <c r="K340" t="s">
        <v>1587</v>
      </c>
      <c r="L340" t="s">
        <v>1589</v>
      </c>
      <c r="M340" t="s">
        <v>952</v>
      </c>
      <c r="N340" t="s">
        <v>1590</v>
      </c>
      <c r="O340" t="s">
        <v>922</v>
      </c>
    </row>
    <row r="341" spans="1:15" x14ac:dyDescent="0.35">
      <c r="A341" t="s">
        <v>397</v>
      </c>
      <c r="B341" t="s">
        <v>49</v>
      </c>
      <c r="C341" t="s">
        <v>1587</v>
      </c>
      <c r="D341" t="s">
        <v>932</v>
      </c>
      <c r="E341">
        <v>125</v>
      </c>
      <c r="F341" t="s">
        <v>1458</v>
      </c>
      <c r="G341">
        <v>2021</v>
      </c>
      <c r="H341" t="s">
        <v>1587</v>
      </c>
      <c r="I341" t="s">
        <v>1588</v>
      </c>
      <c r="J341" t="s">
        <v>1356</v>
      </c>
      <c r="K341" t="s">
        <v>1587</v>
      </c>
      <c r="L341" t="s">
        <v>1589</v>
      </c>
      <c r="M341" t="s">
        <v>918</v>
      </c>
      <c r="N341" t="s">
        <v>1590</v>
      </c>
      <c r="O341" t="s">
        <v>922</v>
      </c>
    </row>
    <row r="342" spans="1:15" x14ac:dyDescent="0.35">
      <c r="A342" t="s">
        <v>1613</v>
      </c>
      <c r="B342" t="s">
        <v>1614</v>
      </c>
      <c r="C342" t="s">
        <v>1587</v>
      </c>
      <c r="D342" t="s">
        <v>932</v>
      </c>
      <c r="E342">
        <v>125</v>
      </c>
      <c r="F342" t="s">
        <v>1458</v>
      </c>
      <c r="G342">
        <v>2022</v>
      </c>
      <c r="H342" t="s">
        <v>1587</v>
      </c>
      <c r="I342" t="s">
        <v>1588</v>
      </c>
      <c r="J342" t="s">
        <v>1356</v>
      </c>
      <c r="K342" t="s">
        <v>1587</v>
      </c>
      <c r="L342" t="s">
        <v>1589</v>
      </c>
      <c r="M342" t="s">
        <v>952</v>
      </c>
      <c r="N342" t="s">
        <v>1590</v>
      </c>
      <c r="O342" t="s">
        <v>922</v>
      </c>
    </row>
    <row r="343" spans="1:15" x14ac:dyDescent="0.35">
      <c r="A343" t="s">
        <v>398</v>
      </c>
      <c r="B343" t="s">
        <v>50</v>
      </c>
      <c r="C343" t="s">
        <v>1587</v>
      </c>
      <c r="D343" t="s">
        <v>932</v>
      </c>
      <c r="E343">
        <v>125</v>
      </c>
      <c r="F343" t="s">
        <v>1458</v>
      </c>
      <c r="G343">
        <v>2022</v>
      </c>
      <c r="H343" t="s">
        <v>1587</v>
      </c>
      <c r="I343" t="s">
        <v>1588</v>
      </c>
      <c r="J343" t="s">
        <v>1356</v>
      </c>
      <c r="K343" t="s">
        <v>1587</v>
      </c>
      <c r="L343" t="s">
        <v>1589</v>
      </c>
      <c r="M343" t="s">
        <v>918</v>
      </c>
      <c r="N343" t="s">
        <v>1590</v>
      </c>
      <c r="O343" t="s">
        <v>922</v>
      </c>
    </row>
    <row r="344" spans="1:15" x14ac:dyDescent="0.35">
      <c r="A344" t="s">
        <v>1615</v>
      </c>
      <c r="B344" t="s">
        <v>1616</v>
      </c>
      <c r="C344" t="s">
        <v>1587</v>
      </c>
      <c r="D344" t="s">
        <v>932</v>
      </c>
      <c r="E344">
        <v>125</v>
      </c>
      <c r="F344" t="s">
        <v>1458</v>
      </c>
      <c r="G344">
        <v>2023</v>
      </c>
      <c r="H344" t="s">
        <v>1587</v>
      </c>
      <c r="I344" t="s">
        <v>1588</v>
      </c>
      <c r="J344" t="s">
        <v>1356</v>
      </c>
      <c r="K344" t="s">
        <v>1587</v>
      </c>
      <c r="L344" t="s">
        <v>1589</v>
      </c>
      <c r="M344" t="s">
        <v>952</v>
      </c>
      <c r="N344" t="s">
        <v>1590</v>
      </c>
      <c r="O344" t="s">
        <v>922</v>
      </c>
    </row>
    <row r="345" spans="1:15" x14ac:dyDescent="0.35">
      <c r="A345" t="s">
        <v>1617</v>
      </c>
      <c r="B345" t="s">
        <v>1618</v>
      </c>
      <c r="C345" t="s">
        <v>1587</v>
      </c>
      <c r="D345" t="s">
        <v>932</v>
      </c>
      <c r="E345">
        <v>125</v>
      </c>
      <c r="F345" t="s">
        <v>1458</v>
      </c>
      <c r="G345">
        <v>2023</v>
      </c>
      <c r="H345" t="s">
        <v>1587</v>
      </c>
      <c r="I345" t="s">
        <v>1588</v>
      </c>
      <c r="J345" t="s">
        <v>1356</v>
      </c>
      <c r="K345" t="s">
        <v>1587</v>
      </c>
      <c r="L345" t="s">
        <v>1589</v>
      </c>
      <c r="M345" t="s">
        <v>969</v>
      </c>
      <c r="N345" t="s">
        <v>1590</v>
      </c>
      <c r="O345" t="s">
        <v>922</v>
      </c>
    </row>
    <row r="346" spans="1:15" x14ac:dyDescent="0.35">
      <c r="A346" t="s">
        <v>338</v>
      </c>
      <c r="B346" t="s">
        <v>51</v>
      </c>
      <c r="C346" t="s">
        <v>1587</v>
      </c>
      <c r="D346" t="s">
        <v>932</v>
      </c>
      <c r="E346">
        <v>125</v>
      </c>
      <c r="F346" t="s">
        <v>1458</v>
      </c>
      <c r="G346">
        <v>2023</v>
      </c>
      <c r="H346" t="s">
        <v>1587</v>
      </c>
      <c r="I346" t="s">
        <v>1588</v>
      </c>
      <c r="J346" t="s">
        <v>1356</v>
      </c>
      <c r="K346" t="s">
        <v>1587</v>
      </c>
      <c r="L346" t="s">
        <v>1589</v>
      </c>
      <c r="M346" t="s">
        <v>918</v>
      </c>
      <c r="N346" t="s">
        <v>1590</v>
      </c>
      <c r="O346" t="s">
        <v>922</v>
      </c>
    </row>
    <row r="347" spans="1:15" x14ac:dyDescent="0.35">
      <c r="A347" t="s">
        <v>1619</v>
      </c>
      <c r="B347" t="s">
        <v>1620</v>
      </c>
      <c r="C347" t="s">
        <v>1587</v>
      </c>
      <c r="D347" t="s">
        <v>932</v>
      </c>
      <c r="E347">
        <v>125</v>
      </c>
      <c r="F347" t="s">
        <v>1458</v>
      </c>
      <c r="G347">
        <v>2024</v>
      </c>
      <c r="H347" t="s">
        <v>1587</v>
      </c>
      <c r="I347" t="s">
        <v>1588</v>
      </c>
      <c r="J347" t="s">
        <v>1356</v>
      </c>
      <c r="K347" t="s">
        <v>1587</v>
      </c>
      <c r="L347" t="s">
        <v>1589</v>
      </c>
      <c r="M347" t="s">
        <v>952</v>
      </c>
      <c r="N347" t="s">
        <v>1590</v>
      </c>
      <c r="O347" t="s">
        <v>922</v>
      </c>
    </row>
    <row r="348" spans="1:15" x14ac:dyDescent="0.35">
      <c r="A348" t="s">
        <v>351</v>
      </c>
      <c r="B348" t="s">
        <v>52</v>
      </c>
      <c r="C348" t="s">
        <v>1587</v>
      </c>
      <c r="D348" t="s">
        <v>932</v>
      </c>
      <c r="E348">
        <v>125</v>
      </c>
      <c r="F348" t="s">
        <v>1458</v>
      </c>
      <c r="G348">
        <v>2024</v>
      </c>
      <c r="H348" t="s">
        <v>1587</v>
      </c>
      <c r="I348" t="s">
        <v>1588</v>
      </c>
      <c r="J348" t="s">
        <v>1356</v>
      </c>
      <c r="K348" t="s">
        <v>1587</v>
      </c>
      <c r="L348" t="s">
        <v>1589</v>
      </c>
      <c r="M348" t="s">
        <v>918</v>
      </c>
      <c r="N348" t="s">
        <v>1590</v>
      </c>
      <c r="O348" t="s">
        <v>922</v>
      </c>
    </row>
    <row r="349" spans="1:15" x14ac:dyDescent="0.35">
      <c r="A349" t="s">
        <v>1621</v>
      </c>
      <c r="B349" t="s">
        <v>1622</v>
      </c>
      <c r="C349" t="s">
        <v>1587</v>
      </c>
      <c r="D349" t="s">
        <v>932</v>
      </c>
      <c r="E349">
        <v>125</v>
      </c>
      <c r="F349" t="s">
        <v>1458</v>
      </c>
      <c r="G349">
        <v>2025</v>
      </c>
      <c r="H349" t="s">
        <v>1587</v>
      </c>
      <c r="I349" t="s">
        <v>1588</v>
      </c>
      <c r="J349" t="s">
        <v>1356</v>
      </c>
      <c r="K349" t="s">
        <v>1587</v>
      </c>
      <c r="L349" t="s">
        <v>1589</v>
      </c>
      <c r="M349" t="s">
        <v>952</v>
      </c>
      <c r="N349" t="s">
        <v>1590</v>
      </c>
      <c r="O349" t="s">
        <v>1593</v>
      </c>
    </row>
    <row r="350" spans="1:15" x14ac:dyDescent="0.35">
      <c r="A350" t="s">
        <v>1623</v>
      </c>
      <c r="B350" t="s">
        <v>1624</v>
      </c>
      <c r="C350" t="s">
        <v>1587</v>
      </c>
      <c r="D350" t="s">
        <v>932</v>
      </c>
      <c r="E350">
        <v>125</v>
      </c>
      <c r="F350" t="s">
        <v>1458</v>
      </c>
      <c r="G350">
        <v>2025</v>
      </c>
      <c r="H350" t="s">
        <v>1587</v>
      </c>
      <c r="I350" t="s">
        <v>1588</v>
      </c>
      <c r="J350" t="s">
        <v>1356</v>
      </c>
      <c r="K350" t="s">
        <v>1587</v>
      </c>
      <c r="L350" t="s">
        <v>1589</v>
      </c>
      <c r="M350" t="s">
        <v>969</v>
      </c>
      <c r="N350" t="s">
        <v>1590</v>
      </c>
      <c r="O350" t="s">
        <v>1593</v>
      </c>
    </row>
    <row r="351" spans="1:15" x14ac:dyDescent="0.35">
      <c r="A351" t="s">
        <v>413</v>
      </c>
      <c r="B351" t="s">
        <v>1625</v>
      </c>
      <c r="C351" t="s">
        <v>1587</v>
      </c>
      <c r="D351" t="s">
        <v>932</v>
      </c>
      <c r="E351">
        <v>125</v>
      </c>
      <c r="F351" t="s">
        <v>1458</v>
      </c>
      <c r="G351">
        <v>2025</v>
      </c>
      <c r="H351" t="s">
        <v>1587</v>
      </c>
      <c r="I351" t="s">
        <v>1588</v>
      </c>
      <c r="J351" t="s">
        <v>1356</v>
      </c>
      <c r="K351" t="s">
        <v>1587</v>
      </c>
      <c r="L351" t="s">
        <v>1589</v>
      </c>
      <c r="M351" t="s">
        <v>918</v>
      </c>
      <c r="N351" t="s">
        <v>1590</v>
      </c>
      <c r="O351" t="s">
        <v>1593</v>
      </c>
    </row>
    <row r="352" spans="1:15" x14ac:dyDescent="0.35">
      <c r="A352" t="s">
        <v>1626</v>
      </c>
      <c r="B352" t="s">
        <v>1627</v>
      </c>
      <c r="C352" t="s">
        <v>1587</v>
      </c>
      <c r="D352" t="s">
        <v>932</v>
      </c>
      <c r="E352">
        <v>125</v>
      </c>
      <c r="F352" t="s">
        <v>958</v>
      </c>
      <c r="G352">
        <v>2020</v>
      </c>
      <c r="H352" t="s">
        <v>1587</v>
      </c>
      <c r="I352" t="s">
        <v>1588</v>
      </c>
      <c r="J352" t="s">
        <v>1356</v>
      </c>
      <c r="K352" t="s">
        <v>1587</v>
      </c>
      <c r="L352" t="s">
        <v>1589</v>
      </c>
      <c r="M352" t="s">
        <v>952</v>
      </c>
      <c r="N352" t="s">
        <v>1596</v>
      </c>
      <c r="O352" t="s">
        <v>922</v>
      </c>
    </row>
    <row r="353" spans="1:15" x14ac:dyDescent="0.35">
      <c r="A353" t="s">
        <v>1628</v>
      </c>
      <c r="B353" t="s">
        <v>1629</v>
      </c>
      <c r="C353" t="s">
        <v>1587</v>
      </c>
      <c r="D353" t="s">
        <v>932</v>
      </c>
      <c r="E353">
        <v>125</v>
      </c>
      <c r="F353" t="s">
        <v>958</v>
      </c>
      <c r="G353">
        <v>2020</v>
      </c>
      <c r="H353" t="s">
        <v>1587</v>
      </c>
      <c r="I353" t="s">
        <v>1588</v>
      </c>
      <c r="J353" t="s">
        <v>1356</v>
      </c>
      <c r="K353" t="s">
        <v>1587</v>
      </c>
      <c r="L353" t="s">
        <v>1589</v>
      </c>
      <c r="M353" t="s">
        <v>918</v>
      </c>
      <c r="N353" t="s">
        <v>1596</v>
      </c>
      <c r="O353" t="s">
        <v>922</v>
      </c>
    </row>
    <row r="354" spans="1:15" x14ac:dyDescent="0.35">
      <c r="A354" t="s">
        <v>1630</v>
      </c>
      <c r="B354" t="s">
        <v>1631</v>
      </c>
      <c r="C354" t="s">
        <v>1587</v>
      </c>
      <c r="D354" t="s">
        <v>932</v>
      </c>
      <c r="E354">
        <v>125</v>
      </c>
      <c r="F354" t="s">
        <v>958</v>
      </c>
      <c r="G354">
        <v>2021</v>
      </c>
      <c r="H354" t="s">
        <v>1587</v>
      </c>
      <c r="I354" t="s">
        <v>1588</v>
      </c>
      <c r="J354" t="s">
        <v>1356</v>
      </c>
      <c r="K354" t="s">
        <v>1587</v>
      </c>
      <c r="L354" t="s">
        <v>1589</v>
      </c>
      <c r="M354" t="s">
        <v>952</v>
      </c>
      <c r="N354" t="s">
        <v>1596</v>
      </c>
      <c r="O354" t="s">
        <v>922</v>
      </c>
    </row>
    <row r="355" spans="1:15" x14ac:dyDescent="0.35">
      <c r="A355" t="s">
        <v>399</v>
      </c>
      <c r="B355" t="s">
        <v>53</v>
      </c>
      <c r="C355" t="s">
        <v>1587</v>
      </c>
      <c r="D355" t="s">
        <v>932</v>
      </c>
      <c r="E355">
        <v>125</v>
      </c>
      <c r="F355" t="s">
        <v>958</v>
      </c>
      <c r="G355">
        <v>2021</v>
      </c>
      <c r="H355" t="s">
        <v>1587</v>
      </c>
      <c r="I355" t="s">
        <v>1588</v>
      </c>
      <c r="J355" t="s">
        <v>1356</v>
      </c>
      <c r="K355" t="s">
        <v>1587</v>
      </c>
      <c r="L355" t="s">
        <v>1589</v>
      </c>
      <c r="M355" t="s">
        <v>918</v>
      </c>
      <c r="N355" t="s">
        <v>1596</v>
      </c>
      <c r="O355" t="s">
        <v>922</v>
      </c>
    </row>
    <row r="356" spans="1:15" x14ac:dyDescent="0.35">
      <c r="A356" t="s">
        <v>1632</v>
      </c>
      <c r="B356" t="s">
        <v>1633</v>
      </c>
      <c r="C356" t="s">
        <v>1587</v>
      </c>
      <c r="D356" t="s">
        <v>932</v>
      </c>
      <c r="E356">
        <v>125</v>
      </c>
      <c r="F356" t="s">
        <v>958</v>
      </c>
      <c r="G356">
        <v>2022</v>
      </c>
      <c r="H356" t="s">
        <v>1587</v>
      </c>
      <c r="I356" t="s">
        <v>1588</v>
      </c>
      <c r="J356" t="s">
        <v>1356</v>
      </c>
      <c r="K356" t="s">
        <v>1587</v>
      </c>
      <c r="L356" t="s">
        <v>1589</v>
      </c>
      <c r="M356" t="s">
        <v>952</v>
      </c>
      <c r="N356" t="s">
        <v>1596</v>
      </c>
      <c r="O356" t="s">
        <v>922</v>
      </c>
    </row>
    <row r="357" spans="1:15" x14ac:dyDescent="0.35">
      <c r="A357" t="s">
        <v>1634</v>
      </c>
      <c r="B357" t="s">
        <v>1635</v>
      </c>
      <c r="C357" t="s">
        <v>1587</v>
      </c>
      <c r="D357" t="s">
        <v>932</v>
      </c>
      <c r="E357">
        <v>125</v>
      </c>
      <c r="F357" t="s">
        <v>958</v>
      </c>
      <c r="G357">
        <v>2022</v>
      </c>
      <c r="H357" t="s">
        <v>1587</v>
      </c>
      <c r="I357" t="s">
        <v>1588</v>
      </c>
      <c r="J357" t="s">
        <v>1356</v>
      </c>
      <c r="K357" t="s">
        <v>1587</v>
      </c>
      <c r="L357" t="s">
        <v>1589</v>
      </c>
      <c r="M357" t="s">
        <v>969</v>
      </c>
      <c r="N357" t="s">
        <v>1596</v>
      </c>
      <c r="O357" t="s">
        <v>922</v>
      </c>
    </row>
    <row r="358" spans="1:15" x14ac:dyDescent="0.35">
      <c r="A358" t="s">
        <v>323</v>
      </c>
      <c r="B358" t="s">
        <v>54</v>
      </c>
      <c r="C358" t="s">
        <v>1587</v>
      </c>
      <c r="D358" t="s">
        <v>932</v>
      </c>
      <c r="E358">
        <v>125</v>
      </c>
      <c r="F358" t="s">
        <v>958</v>
      </c>
      <c r="G358">
        <v>2022</v>
      </c>
      <c r="H358" t="s">
        <v>1587</v>
      </c>
      <c r="I358" t="s">
        <v>1588</v>
      </c>
      <c r="J358" t="s">
        <v>1356</v>
      </c>
      <c r="K358" t="s">
        <v>1587</v>
      </c>
      <c r="L358" t="s">
        <v>1589</v>
      </c>
      <c r="M358" t="s">
        <v>918</v>
      </c>
      <c r="N358" t="s">
        <v>1596</v>
      </c>
      <c r="O358" t="s">
        <v>922</v>
      </c>
    </row>
    <row r="359" spans="1:15" x14ac:dyDescent="0.35">
      <c r="A359" t="s">
        <v>1636</v>
      </c>
      <c r="B359" t="s">
        <v>1637</v>
      </c>
      <c r="C359" t="s">
        <v>1587</v>
      </c>
      <c r="D359" t="s">
        <v>932</v>
      </c>
      <c r="E359">
        <v>125</v>
      </c>
      <c r="F359" t="s">
        <v>958</v>
      </c>
      <c r="G359">
        <v>2023</v>
      </c>
      <c r="H359" t="s">
        <v>1587</v>
      </c>
      <c r="I359" t="s">
        <v>1588</v>
      </c>
      <c r="J359" t="s">
        <v>1356</v>
      </c>
      <c r="K359" t="s">
        <v>1587</v>
      </c>
      <c r="L359" t="s">
        <v>1589</v>
      </c>
      <c r="M359" t="s">
        <v>952</v>
      </c>
      <c r="N359" t="s">
        <v>1596</v>
      </c>
      <c r="O359" t="s">
        <v>922</v>
      </c>
    </row>
    <row r="360" spans="1:15" x14ac:dyDescent="0.35">
      <c r="A360" t="s">
        <v>1638</v>
      </c>
      <c r="B360" t="s">
        <v>1639</v>
      </c>
      <c r="C360" t="s">
        <v>1587</v>
      </c>
      <c r="D360" t="s">
        <v>932</v>
      </c>
      <c r="E360">
        <v>125</v>
      </c>
      <c r="F360" t="s">
        <v>958</v>
      </c>
      <c r="G360">
        <v>2023</v>
      </c>
      <c r="H360" t="s">
        <v>1587</v>
      </c>
      <c r="I360" t="s">
        <v>1588</v>
      </c>
      <c r="J360" t="s">
        <v>1356</v>
      </c>
      <c r="K360" t="s">
        <v>1587</v>
      </c>
      <c r="L360" t="s">
        <v>1589</v>
      </c>
      <c r="M360" t="s">
        <v>969</v>
      </c>
      <c r="N360" t="s">
        <v>1596</v>
      </c>
      <c r="O360" t="s">
        <v>922</v>
      </c>
    </row>
    <row r="361" spans="1:15" x14ac:dyDescent="0.35">
      <c r="A361" t="s">
        <v>316</v>
      </c>
      <c r="B361" t="s">
        <v>55</v>
      </c>
      <c r="C361" t="s">
        <v>1587</v>
      </c>
      <c r="D361" t="s">
        <v>932</v>
      </c>
      <c r="E361">
        <v>125</v>
      </c>
      <c r="F361" t="s">
        <v>958</v>
      </c>
      <c r="G361">
        <v>2023</v>
      </c>
      <c r="H361" t="s">
        <v>1587</v>
      </c>
      <c r="I361" t="s">
        <v>1588</v>
      </c>
      <c r="J361" t="s">
        <v>1356</v>
      </c>
      <c r="K361" t="s">
        <v>1587</v>
      </c>
      <c r="L361" t="s">
        <v>1589</v>
      </c>
      <c r="M361" t="s">
        <v>918</v>
      </c>
      <c r="N361" t="s">
        <v>1596</v>
      </c>
      <c r="O361" t="s">
        <v>922</v>
      </c>
    </row>
    <row r="362" spans="1:15" x14ac:dyDescent="0.35">
      <c r="A362" t="s">
        <v>1640</v>
      </c>
      <c r="B362" t="s">
        <v>1641</v>
      </c>
      <c r="C362" t="s">
        <v>1587</v>
      </c>
      <c r="D362" t="s">
        <v>932</v>
      </c>
      <c r="E362">
        <v>125</v>
      </c>
      <c r="F362" t="s">
        <v>958</v>
      </c>
      <c r="G362">
        <v>2024</v>
      </c>
      <c r="H362" t="s">
        <v>1587</v>
      </c>
      <c r="I362" t="s">
        <v>1588</v>
      </c>
      <c r="J362" t="s">
        <v>1356</v>
      </c>
      <c r="K362" t="s">
        <v>1587</v>
      </c>
      <c r="L362" t="s">
        <v>1589</v>
      </c>
      <c r="M362" t="s">
        <v>952</v>
      </c>
      <c r="N362" t="s">
        <v>1596</v>
      </c>
      <c r="O362" t="s">
        <v>922</v>
      </c>
    </row>
    <row r="363" spans="1:15" x14ac:dyDescent="0.35">
      <c r="A363" t="s">
        <v>1642</v>
      </c>
      <c r="B363" t="s">
        <v>1643</v>
      </c>
      <c r="C363" t="s">
        <v>1587</v>
      </c>
      <c r="D363" t="s">
        <v>932</v>
      </c>
      <c r="E363">
        <v>125</v>
      </c>
      <c r="F363" t="s">
        <v>958</v>
      </c>
      <c r="G363">
        <v>2024</v>
      </c>
      <c r="H363" t="s">
        <v>1587</v>
      </c>
      <c r="I363" t="s">
        <v>1588</v>
      </c>
      <c r="J363" t="s">
        <v>1356</v>
      </c>
      <c r="K363" t="s">
        <v>1587</v>
      </c>
      <c r="L363" t="s">
        <v>1589</v>
      </c>
      <c r="M363" t="s">
        <v>969</v>
      </c>
      <c r="N363" t="s">
        <v>1596</v>
      </c>
      <c r="O363" t="s">
        <v>922</v>
      </c>
    </row>
    <row r="364" spans="1:15" x14ac:dyDescent="0.35">
      <c r="A364" t="s">
        <v>352</v>
      </c>
      <c r="B364" t="s">
        <v>56</v>
      </c>
      <c r="C364" t="s">
        <v>1587</v>
      </c>
      <c r="D364" t="s">
        <v>932</v>
      </c>
      <c r="E364">
        <v>125</v>
      </c>
      <c r="F364" t="s">
        <v>958</v>
      </c>
      <c r="G364">
        <v>2024</v>
      </c>
      <c r="H364" t="s">
        <v>1587</v>
      </c>
      <c r="I364" t="s">
        <v>1588</v>
      </c>
      <c r="J364" t="s">
        <v>1356</v>
      </c>
      <c r="K364" t="s">
        <v>1587</v>
      </c>
      <c r="L364" t="s">
        <v>1589</v>
      </c>
      <c r="M364" t="s">
        <v>918</v>
      </c>
      <c r="N364" t="s">
        <v>1596</v>
      </c>
      <c r="O364" t="s">
        <v>922</v>
      </c>
    </row>
    <row r="365" spans="1:15" x14ac:dyDescent="0.35">
      <c r="A365" t="s">
        <v>1644</v>
      </c>
      <c r="B365" t="s">
        <v>1645</v>
      </c>
      <c r="C365" t="s">
        <v>1587</v>
      </c>
      <c r="D365" t="s">
        <v>932</v>
      </c>
      <c r="E365">
        <v>125</v>
      </c>
      <c r="F365" t="s">
        <v>958</v>
      </c>
      <c r="G365">
        <v>2025</v>
      </c>
      <c r="H365" t="s">
        <v>1587</v>
      </c>
      <c r="I365" t="s">
        <v>1588</v>
      </c>
      <c r="J365" t="s">
        <v>1356</v>
      </c>
      <c r="K365" t="s">
        <v>1587</v>
      </c>
      <c r="L365" t="s">
        <v>1589</v>
      </c>
      <c r="M365" t="s">
        <v>952</v>
      </c>
      <c r="N365" t="s">
        <v>1596</v>
      </c>
      <c r="O365" t="s">
        <v>1597</v>
      </c>
    </row>
    <row r="366" spans="1:15" x14ac:dyDescent="0.35">
      <c r="A366" t="s">
        <v>1646</v>
      </c>
      <c r="B366" t="s">
        <v>1647</v>
      </c>
      <c r="C366" t="s">
        <v>1587</v>
      </c>
      <c r="D366" t="s">
        <v>932</v>
      </c>
      <c r="E366">
        <v>125</v>
      </c>
      <c r="F366" t="s">
        <v>958</v>
      </c>
      <c r="G366">
        <v>2025</v>
      </c>
      <c r="H366" t="s">
        <v>1587</v>
      </c>
      <c r="I366" t="s">
        <v>1588</v>
      </c>
      <c r="J366" t="s">
        <v>1356</v>
      </c>
      <c r="K366" t="s">
        <v>1587</v>
      </c>
      <c r="L366" t="s">
        <v>1589</v>
      </c>
      <c r="M366" t="s">
        <v>969</v>
      </c>
      <c r="N366" t="s">
        <v>1596</v>
      </c>
      <c r="O366" t="s">
        <v>1597</v>
      </c>
    </row>
    <row r="367" spans="1:15" x14ac:dyDescent="0.35">
      <c r="A367" t="s">
        <v>400</v>
      </c>
      <c r="B367" t="s">
        <v>1648</v>
      </c>
      <c r="C367" t="s">
        <v>1587</v>
      </c>
      <c r="D367" t="s">
        <v>932</v>
      </c>
      <c r="E367">
        <v>125</v>
      </c>
      <c r="F367" t="s">
        <v>958</v>
      </c>
      <c r="G367">
        <v>2025</v>
      </c>
      <c r="H367" t="s">
        <v>1587</v>
      </c>
      <c r="I367" t="s">
        <v>1588</v>
      </c>
      <c r="J367" t="s">
        <v>1356</v>
      </c>
      <c r="K367" t="s">
        <v>1587</v>
      </c>
      <c r="L367" t="s">
        <v>1589</v>
      </c>
      <c r="M367" t="s">
        <v>918</v>
      </c>
      <c r="N367" t="s">
        <v>1596</v>
      </c>
      <c r="O367" t="s">
        <v>1597</v>
      </c>
    </row>
    <row r="368" spans="1:15" x14ac:dyDescent="0.35">
      <c r="A368" t="s">
        <v>1649</v>
      </c>
      <c r="B368" t="s">
        <v>1650</v>
      </c>
      <c r="C368" t="s">
        <v>1587</v>
      </c>
      <c r="D368" t="s">
        <v>932</v>
      </c>
      <c r="E368">
        <v>125</v>
      </c>
      <c r="F368" t="s">
        <v>1006</v>
      </c>
      <c r="G368">
        <v>2020</v>
      </c>
      <c r="H368" t="s">
        <v>1587</v>
      </c>
      <c r="I368" t="s">
        <v>1588</v>
      </c>
      <c r="J368" t="s">
        <v>1356</v>
      </c>
      <c r="K368" t="s">
        <v>1587</v>
      </c>
      <c r="L368" t="s">
        <v>1589</v>
      </c>
      <c r="M368" t="s">
        <v>952</v>
      </c>
      <c r="N368" t="s">
        <v>1600</v>
      </c>
      <c r="O368" t="s">
        <v>922</v>
      </c>
    </row>
    <row r="369" spans="1:15" x14ac:dyDescent="0.35">
      <c r="A369" t="s">
        <v>1651</v>
      </c>
      <c r="B369" t="s">
        <v>1652</v>
      </c>
      <c r="C369" t="s">
        <v>1587</v>
      </c>
      <c r="D369" t="s">
        <v>932</v>
      </c>
      <c r="E369">
        <v>125</v>
      </c>
      <c r="F369" t="s">
        <v>1006</v>
      </c>
      <c r="G369">
        <v>2020</v>
      </c>
      <c r="H369" t="s">
        <v>1587</v>
      </c>
      <c r="I369" t="s">
        <v>1588</v>
      </c>
      <c r="J369" t="s">
        <v>1356</v>
      </c>
      <c r="K369" t="s">
        <v>1587</v>
      </c>
      <c r="L369" t="s">
        <v>1589</v>
      </c>
      <c r="M369" t="s">
        <v>918</v>
      </c>
      <c r="N369" t="s">
        <v>1600</v>
      </c>
      <c r="O369" t="s">
        <v>922</v>
      </c>
    </row>
    <row r="370" spans="1:15" x14ac:dyDescent="0.35">
      <c r="A370" t="s">
        <v>836</v>
      </c>
      <c r="B370" t="s">
        <v>1653</v>
      </c>
      <c r="C370" t="s">
        <v>1587</v>
      </c>
      <c r="D370" t="s">
        <v>932</v>
      </c>
      <c r="E370">
        <v>125</v>
      </c>
      <c r="F370" t="s">
        <v>958</v>
      </c>
      <c r="G370">
        <v>2019</v>
      </c>
      <c r="H370" t="s">
        <v>1587</v>
      </c>
      <c r="I370" t="s">
        <v>1588</v>
      </c>
      <c r="J370" t="s">
        <v>1356</v>
      </c>
      <c r="K370" t="s">
        <v>1587</v>
      </c>
      <c r="L370" t="s">
        <v>1589</v>
      </c>
      <c r="M370" t="s">
        <v>918</v>
      </c>
      <c r="N370" t="s">
        <v>1596</v>
      </c>
      <c r="O370" t="s">
        <v>922</v>
      </c>
    </row>
    <row r="371" spans="1:15" x14ac:dyDescent="0.35">
      <c r="A371" t="s">
        <v>2485</v>
      </c>
      <c r="B371" t="s">
        <v>2486</v>
      </c>
      <c r="C371" t="s">
        <v>2487</v>
      </c>
      <c r="D371" t="s">
        <v>932</v>
      </c>
      <c r="E371">
        <v>125</v>
      </c>
      <c r="F371" t="s">
        <v>1006</v>
      </c>
      <c r="G371">
        <v>2026</v>
      </c>
      <c r="H371" t="s">
        <v>2487</v>
      </c>
      <c r="I371" t="s">
        <v>2487</v>
      </c>
      <c r="J371" t="s">
        <v>2308</v>
      </c>
      <c r="K371" t="s">
        <v>2487</v>
      </c>
      <c r="M371" t="s">
        <v>920</v>
      </c>
      <c r="N371" t="s">
        <v>2488</v>
      </c>
      <c r="O371" t="s">
        <v>2489</v>
      </c>
    </row>
    <row r="372" spans="1:15" x14ac:dyDescent="0.35">
      <c r="A372" t="s">
        <v>2490</v>
      </c>
      <c r="B372" t="s">
        <v>2491</v>
      </c>
      <c r="C372" t="s">
        <v>2487</v>
      </c>
      <c r="D372" t="s">
        <v>932</v>
      </c>
      <c r="E372">
        <v>125</v>
      </c>
      <c r="F372" t="s">
        <v>1576</v>
      </c>
      <c r="G372">
        <v>2026</v>
      </c>
      <c r="H372" t="s">
        <v>2487</v>
      </c>
      <c r="I372" t="s">
        <v>2487</v>
      </c>
      <c r="J372" t="s">
        <v>2308</v>
      </c>
      <c r="K372" t="s">
        <v>2487</v>
      </c>
      <c r="M372" t="s">
        <v>920</v>
      </c>
      <c r="N372" t="s">
        <v>2492</v>
      </c>
      <c r="O372" t="s">
        <v>2493</v>
      </c>
    </row>
    <row r="373" spans="1:15" x14ac:dyDescent="0.35">
      <c r="A373" t="s">
        <v>2494</v>
      </c>
      <c r="B373" t="s">
        <v>2495</v>
      </c>
      <c r="C373" t="s">
        <v>2487</v>
      </c>
      <c r="D373" t="s">
        <v>932</v>
      </c>
      <c r="E373">
        <v>125</v>
      </c>
      <c r="F373" t="s">
        <v>2313</v>
      </c>
      <c r="G373">
        <v>2026</v>
      </c>
      <c r="H373" t="s">
        <v>2487</v>
      </c>
      <c r="I373" t="s">
        <v>2487</v>
      </c>
      <c r="J373" t="s">
        <v>2308</v>
      </c>
      <c r="K373" t="s">
        <v>2487</v>
      </c>
      <c r="M373" t="s">
        <v>920</v>
      </c>
      <c r="N373" t="s">
        <v>2496</v>
      </c>
      <c r="O373" t="s">
        <v>2497</v>
      </c>
    </row>
    <row r="374" spans="1:15" x14ac:dyDescent="0.35">
      <c r="A374" t="s">
        <v>2501</v>
      </c>
      <c r="B374" t="s">
        <v>2486</v>
      </c>
      <c r="C374" t="s">
        <v>2487</v>
      </c>
      <c r="D374" t="s">
        <v>932</v>
      </c>
      <c r="E374">
        <v>125</v>
      </c>
      <c r="F374" t="s">
        <v>1006</v>
      </c>
      <c r="G374">
        <v>2026</v>
      </c>
      <c r="H374" t="s">
        <v>2487</v>
      </c>
      <c r="I374" t="s">
        <v>2487</v>
      </c>
      <c r="J374" t="s">
        <v>2308</v>
      </c>
      <c r="K374" t="s">
        <v>2487</v>
      </c>
      <c r="M374" t="s">
        <v>952</v>
      </c>
      <c r="N374" t="s">
        <v>2488</v>
      </c>
      <c r="O374" t="s">
        <v>2489</v>
      </c>
    </row>
    <row r="375" spans="1:15" x14ac:dyDescent="0.35">
      <c r="A375" t="s">
        <v>2502</v>
      </c>
      <c r="B375" t="s">
        <v>2491</v>
      </c>
      <c r="C375" t="s">
        <v>2487</v>
      </c>
      <c r="D375" t="s">
        <v>932</v>
      </c>
      <c r="E375">
        <v>125</v>
      </c>
      <c r="F375" t="s">
        <v>1576</v>
      </c>
      <c r="G375">
        <v>2026</v>
      </c>
      <c r="H375" t="s">
        <v>2487</v>
      </c>
      <c r="I375" t="s">
        <v>2487</v>
      </c>
      <c r="J375" t="s">
        <v>2308</v>
      </c>
      <c r="K375" t="s">
        <v>2487</v>
      </c>
      <c r="M375" t="s">
        <v>952</v>
      </c>
      <c r="N375" t="s">
        <v>2492</v>
      </c>
      <c r="O375" t="s">
        <v>2493</v>
      </c>
    </row>
    <row r="376" spans="1:15" x14ac:dyDescent="0.35">
      <c r="A376" t="s">
        <v>2503</v>
      </c>
      <c r="B376" t="s">
        <v>2495</v>
      </c>
      <c r="C376" t="s">
        <v>2487</v>
      </c>
      <c r="D376" t="s">
        <v>932</v>
      </c>
      <c r="E376">
        <v>125</v>
      </c>
      <c r="F376" t="s">
        <v>2313</v>
      </c>
      <c r="G376">
        <v>2026</v>
      </c>
      <c r="H376" t="s">
        <v>2487</v>
      </c>
      <c r="I376" t="s">
        <v>2487</v>
      </c>
      <c r="J376" t="s">
        <v>2308</v>
      </c>
      <c r="K376" t="s">
        <v>2487</v>
      </c>
      <c r="M376" t="s">
        <v>952</v>
      </c>
      <c r="N376" t="s">
        <v>2496</v>
      </c>
      <c r="O376" t="s">
        <v>2497</v>
      </c>
    </row>
    <row r="377" spans="1:15" x14ac:dyDescent="0.35">
      <c r="A377" t="s">
        <v>2507</v>
      </c>
      <c r="B377" t="s">
        <v>2486</v>
      </c>
      <c r="C377" t="s">
        <v>2487</v>
      </c>
      <c r="D377" t="s">
        <v>932</v>
      </c>
      <c r="E377">
        <v>125</v>
      </c>
      <c r="F377" t="s">
        <v>1006</v>
      </c>
      <c r="G377">
        <v>2026</v>
      </c>
      <c r="H377" t="s">
        <v>2487</v>
      </c>
      <c r="I377" t="s">
        <v>2487</v>
      </c>
      <c r="J377" t="s">
        <v>2308</v>
      </c>
      <c r="K377" t="s">
        <v>2487</v>
      </c>
      <c r="M377" t="s">
        <v>918</v>
      </c>
      <c r="N377" t="s">
        <v>2488</v>
      </c>
      <c r="O377" t="s">
        <v>2489</v>
      </c>
    </row>
    <row r="378" spans="1:15" x14ac:dyDescent="0.35">
      <c r="A378" t="s">
        <v>2508</v>
      </c>
      <c r="B378" t="s">
        <v>2491</v>
      </c>
      <c r="C378" t="s">
        <v>2487</v>
      </c>
      <c r="D378" t="s">
        <v>932</v>
      </c>
      <c r="E378">
        <v>125</v>
      </c>
      <c r="F378" t="s">
        <v>1576</v>
      </c>
      <c r="G378">
        <v>2026</v>
      </c>
      <c r="H378" t="s">
        <v>2487</v>
      </c>
      <c r="I378" t="s">
        <v>2487</v>
      </c>
      <c r="J378" t="s">
        <v>2308</v>
      </c>
      <c r="K378" t="s">
        <v>2487</v>
      </c>
      <c r="M378" t="s">
        <v>918</v>
      </c>
      <c r="N378" t="s">
        <v>2492</v>
      </c>
      <c r="O378" t="s">
        <v>2493</v>
      </c>
    </row>
    <row r="379" spans="1:15" x14ac:dyDescent="0.35">
      <c r="A379" t="s">
        <v>2509</v>
      </c>
      <c r="B379" t="s">
        <v>2495</v>
      </c>
      <c r="C379" t="s">
        <v>2487</v>
      </c>
      <c r="D379" t="s">
        <v>932</v>
      </c>
      <c r="E379">
        <v>125</v>
      </c>
      <c r="F379" t="s">
        <v>2313</v>
      </c>
      <c r="G379">
        <v>2026</v>
      </c>
      <c r="H379" t="s">
        <v>2487</v>
      </c>
      <c r="I379" t="s">
        <v>2487</v>
      </c>
      <c r="J379" t="s">
        <v>2308</v>
      </c>
      <c r="K379" t="s">
        <v>2487</v>
      </c>
      <c r="M379" t="s">
        <v>918</v>
      </c>
      <c r="N379" t="s">
        <v>2496</v>
      </c>
      <c r="O379" t="s">
        <v>2497</v>
      </c>
    </row>
    <row r="380" spans="1:15" x14ac:dyDescent="0.35">
      <c r="A380" t="s">
        <v>2513</v>
      </c>
      <c r="B380" t="s">
        <v>2486</v>
      </c>
      <c r="C380" t="s">
        <v>2487</v>
      </c>
      <c r="D380" t="s">
        <v>932</v>
      </c>
      <c r="E380">
        <v>125</v>
      </c>
      <c r="F380" t="s">
        <v>1006</v>
      </c>
      <c r="G380">
        <v>2026</v>
      </c>
      <c r="H380" t="s">
        <v>2487</v>
      </c>
      <c r="I380" t="s">
        <v>2487</v>
      </c>
      <c r="J380" t="s">
        <v>2308</v>
      </c>
      <c r="K380" t="s">
        <v>2487</v>
      </c>
      <c r="M380" t="s">
        <v>969</v>
      </c>
      <c r="N380" t="s">
        <v>2488</v>
      </c>
      <c r="O380" t="s">
        <v>2489</v>
      </c>
    </row>
    <row r="381" spans="1:15" x14ac:dyDescent="0.35">
      <c r="A381" t="s">
        <v>2514</v>
      </c>
      <c r="B381" t="s">
        <v>2491</v>
      </c>
      <c r="C381" t="s">
        <v>2487</v>
      </c>
      <c r="D381" t="s">
        <v>932</v>
      </c>
      <c r="E381">
        <v>125</v>
      </c>
      <c r="F381" t="s">
        <v>1576</v>
      </c>
      <c r="G381">
        <v>2026</v>
      </c>
      <c r="H381" t="s">
        <v>2487</v>
      </c>
      <c r="I381" t="s">
        <v>2487</v>
      </c>
      <c r="J381" t="s">
        <v>2308</v>
      </c>
      <c r="K381" t="s">
        <v>2487</v>
      </c>
      <c r="M381" t="s">
        <v>969</v>
      </c>
      <c r="N381" t="s">
        <v>2492</v>
      </c>
      <c r="O381" t="s">
        <v>2493</v>
      </c>
    </row>
    <row r="382" spans="1:15" x14ac:dyDescent="0.35">
      <c r="A382" t="s">
        <v>2515</v>
      </c>
      <c r="B382" t="s">
        <v>2495</v>
      </c>
      <c r="C382" t="s">
        <v>2487</v>
      </c>
      <c r="D382" t="s">
        <v>932</v>
      </c>
      <c r="E382">
        <v>125</v>
      </c>
      <c r="F382" t="s">
        <v>2313</v>
      </c>
      <c r="G382">
        <v>2026</v>
      </c>
      <c r="H382" t="s">
        <v>2487</v>
      </c>
      <c r="I382" t="s">
        <v>2487</v>
      </c>
      <c r="J382" t="s">
        <v>2308</v>
      </c>
      <c r="K382" t="s">
        <v>2487</v>
      </c>
      <c r="M382" t="s">
        <v>969</v>
      </c>
      <c r="N382" t="s">
        <v>2496</v>
      </c>
      <c r="O382" t="s">
        <v>2497</v>
      </c>
    </row>
    <row r="383" spans="1:15" x14ac:dyDescent="0.35">
      <c r="A383" t="s">
        <v>1573</v>
      </c>
      <c r="B383" t="s">
        <v>1574</v>
      </c>
      <c r="C383" t="s">
        <v>1575</v>
      </c>
      <c r="D383" t="s">
        <v>932</v>
      </c>
      <c r="E383">
        <v>125</v>
      </c>
      <c r="F383" t="s">
        <v>1576</v>
      </c>
      <c r="G383">
        <v>2025</v>
      </c>
      <c r="H383" t="s">
        <v>1575</v>
      </c>
      <c r="I383" t="s">
        <v>1577</v>
      </c>
      <c r="J383" t="s">
        <v>919</v>
      </c>
      <c r="K383" t="s">
        <v>919</v>
      </c>
      <c r="M383" t="s">
        <v>952</v>
      </c>
      <c r="N383" t="s">
        <v>1578</v>
      </c>
      <c r="O383" t="s">
        <v>922</v>
      </c>
    </row>
    <row r="384" spans="1:15" x14ac:dyDescent="0.35">
      <c r="A384" t="s">
        <v>1579</v>
      </c>
      <c r="B384" t="s">
        <v>1580</v>
      </c>
      <c r="C384" t="s">
        <v>1575</v>
      </c>
      <c r="D384" t="s">
        <v>932</v>
      </c>
      <c r="E384">
        <v>125</v>
      </c>
      <c r="F384" t="s">
        <v>1006</v>
      </c>
      <c r="G384">
        <v>2025</v>
      </c>
      <c r="H384" t="s">
        <v>1575</v>
      </c>
      <c r="I384" t="s">
        <v>1577</v>
      </c>
      <c r="J384" t="s">
        <v>919</v>
      </c>
      <c r="K384" t="s">
        <v>919</v>
      </c>
      <c r="M384" t="s">
        <v>952</v>
      </c>
      <c r="N384" t="s">
        <v>1568</v>
      </c>
      <c r="O384" t="s">
        <v>922</v>
      </c>
    </row>
    <row r="385" spans="1:15" x14ac:dyDescent="0.35">
      <c r="A385" t="s">
        <v>1581</v>
      </c>
      <c r="B385" t="s">
        <v>1582</v>
      </c>
      <c r="C385" t="s">
        <v>1575</v>
      </c>
      <c r="D385" t="s">
        <v>932</v>
      </c>
      <c r="E385">
        <v>125</v>
      </c>
      <c r="F385" t="s">
        <v>1006</v>
      </c>
      <c r="G385">
        <v>2025</v>
      </c>
      <c r="H385" t="s">
        <v>1575</v>
      </c>
      <c r="I385" t="s">
        <v>1577</v>
      </c>
      <c r="J385" t="s">
        <v>919</v>
      </c>
      <c r="K385" t="s">
        <v>919</v>
      </c>
      <c r="M385" t="s">
        <v>952</v>
      </c>
      <c r="N385" t="s">
        <v>1568</v>
      </c>
      <c r="O385" t="s">
        <v>922</v>
      </c>
    </row>
    <row r="386" spans="1:15" x14ac:dyDescent="0.35">
      <c r="A386" t="s">
        <v>1583</v>
      </c>
      <c r="B386" t="s">
        <v>1584</v>
      </c>
      <c r="C386" t="s">
        <v>1575</v>
      </c>
      <c r="D386" t="s">
        <v>932</v>
      </c>
      <c r="E386">
        <v>125</v>
      </c>
      <c r="F386" t="s">
        <v>1576</v>
      </c>
      <c r="G386">
        <v>2025</v>
      </c>
      <c r="H386" t="s">
        <v>1575</v>
      </c>
      <c r="I386" t="s">
        <v>1577</v>
      </c>
      <c r="J386" t="s">
        <v>919</v>
      </c>
      <c r="K386" t="s">
        <v>919</v>
      </c>
      <c r="M386" t="s">
        <v>952</v>
      </c>
      <c r="N386" t="s">
        <v>1578</v>
      </c>
      <c r="O386" t="s">
        <v>922</v>
      </c>
    </row>
    <row r="387" spans="1:15" x14ac:dyDescent="0.35">
      <c r="A387" t="s">
        <v>2298</v>
      </c>
      <c r="B387" t="s">
        <v>2299</v>
      </c>
      <c r="C387" t="s">
        <v>2300</v>
      </c>
      <c r="D387" t="s">
        <v>932</v>
      </c>
      <c r="E387">
        <v>125</v>
      </c>
      <c r="F387" t="s">
        <v>1006</v>
      </c>
      <c r="G387">
        <v>2026</v>
      </c>
      <c r="H387" t="s">
        <v>2300</v>
      </c>
      <c r="I387" t="s">
        <v>2301</v>
      </c>
      <c r="J387" t="s">
        <v>2302</v>
      </c>
      <c r="K387" t="s">
        <v>2300</v>
      </c>
      <c r="M387" t="s">
        <v>920</v>
      </c>
      <c r="N387" t="s">
        <v>2303</v>
      </c>
      <c r="O387" t="s">
        <v>2304</v>
      </c>
    </row>
    <row r="388" spans="1:15" x14ac:dyDescent="0.35">
      <c r="A388" t="s">
        <v>2305</v>
      </c>
      <c r="B388" t="s">
        <v>2306</v>
      </c>
      <c r="C388" t="s">
        <v>2300</v>
      </c>
      <c r="D388" t="s">
        <v>932</v>
      </c>
      <c r="E388">
        <v>125</v>
      </c>
      <c r="F388" t="s">
        <v>1576</v>
      </c>
      <c r="G388">
        <v>2026</v>
      </c>
      <c r="H388" t="s">
        <v>2300</v>
      </c>
      <c r="I388" t="s">
        <v>2307</v>
      </c>
      <c r="J388" t="s">
        <v>2308</v>
      </c>
      <c r="K388" t="s">
        <v>2300</v>
      </c>
      <c r="M388" t="s">
        <v>920</v>
      </c>
      <c r="N388" t="s">
        <v>2309</v>
      </c>
      <c r="O388" t="s">
        <v>2310</v>
      </c>
    </row>
    <row r="389" spans="1:15" x14ac:dyDescent="0.35">
      <c r="A389" t="s">
        <v>2311</v>
      </c>
      <c r="B389" t="s">
        <v>2312</v>
      </c>
      <c r="C389" t="s">
        <v>2300</v>
      </c>
      <c r="D389" t="s">
        <v>932</v>
      </c>
      <c r="E389">
        <v>125</v>
      </c>
      <c r="F389" t="s">
        <v>2313</v>
      </c>
      <c r="G389">
        <v>2026</v>
      </c>
      <c r="H389" t="s">
        <v>2300</v>
      </c>
      <c r="I389" t="s">
        <v>2307</v>
      </c>
      <c r="J389" t="s">
        <v>2314</v>
      </c>
      <c r="K389" t="s">
        <v>2300</v>
      </c>
      <c r="M389" t="s">
        <v>920</v>
      </c>
      <c r="N389" t="s">
        <v>2315</v>
      </c>
      <c r="O389" t="s">
        <v>2316</v>
      </c>
    </row>
    <row r="390" spans="1:15" x14ac:dyDescent="0.35">
      <c r="A390" t="s">
        <v>2401</v>
      </c>
      <c r="B390" t="s">
        <v>2402</v>
      </c>
      <c r="C390" t="s">
        <v>2300</v>
      </c>
      <c r="D390" t="s">
        <v>932</v>
      </c>
      <c r="E390">
        <v>125</v>
      </c>
      <c r="F390" t="s">
        <v>1006</v>
      </c>
      <c r="G390">
        <v>2026</v>
      </c>
      <c r="H390" t="s">
        <v>2300</v>
      </c>
      <c r="I390" t="s">
        <v>2301</v>
      </c>
      <c r="J390" t="s">
        <v>2302</v>
      </c>
      <c r="K390" t="s">
        <v>2300</v>
      </c>
      <c r="M390" t="s">
        <v>952</v>
      </c>
      <c r="N390" t="s">
        <v>2303</v>
      </c>
      <c r="O390" t="s">
        <v>2304</v>
      </c>
    </row>
    <row r="391" spans="1:15" x14ac:dyDescent="0.35">
      <c r="A391" t="s">
        <v>2403</v>
      </c>
      <c r="B391" t="s">
        <v>2404</v>
      </c>
      <c r="C391" t="s">
        <v>2300</v>
      </c>
      <c r="D391" t="s">
        <v>932</v>
      </c>
      <c r="E391">
        <v>125</v>
      </c>
      <c r="F391" t="s">
        <v>1576</v>
      </c>
      <c r="G391">
        <v>2026</v>
      </c>
      <c r="H391" t="s">
        <v>2300</v>
      </c>
      <c r="I391" t="s">
        <v>2307</v>
      </c>
      <c r="J391" t="s">
        <v>2308</v>
      </c>
      <c r="K391" t="s">
        <v>2300</v>
      </c>
      <c r="M391" t="s">
        <v>952</v>
      </c>
      <c r="N391" t="s">
        <v>2309</v>
      </c>
      <c r="O391" t="s">
        <v>2310</v>
      </c>
    </row>
    <row r="392" spans="1:15" x14ac:dyDescent="0.35">
      <c r="A392" t="s">
        <v>2405</v>
      </c>
      <c r="B392" t="s">
        <v>2406</v>
      </c>
      <c r="C392" t="s">
        <v>2300</v>
      </c>
      <c r="D392" t="s">
        <v>932</v>
      </c>
      <c r="E392">
        <v>125</v>
      </c>
      <c r="F392" t="s">
        <v>2313</v>
      </c>
      <c r="G392">
        <v>2026</v>
      </c>
      <c r="H392" t="s">
        <v>2300</v>
      </c>
      <c r="I392" t="s">
        <v>2307</v>
      </c>
      <c r="J392" t="s">
        <v>2314</v>
      </c>
      <c r="K392" t="s">
        <v>2300</v>
      </c>
      <c r="M392" t="s">
        <v>952</v>
      </c>
      <c r="N392" t="s">
        <v>2315</v>
      </c>
      <c r="O392" t="s">
        <v>2316</v>
      </c>
    </row>
    <row r="393" spans="1:15" x14ac:dyDescent="0.35">
      <c r="A393" t="s">
        <v>263</v>
      </c>
      <c r="B393" t="s">
        <v>2402</v>
      </c>
      <c r="C393" t="s">
        <v>2300</v>
      </c>
      <c r="D393" t="s">
        <v>932</v>
      </c>
      <c r="E393">
        <v>125</v>
      </c>
      <c r="F393" t="s">
        <v>1006</v>
      </c>
      <c r="G393">
        <v>2026</v>
      </c>
      <c r="H393" t="s">
        <v>2300</v>
      </c>
      <c r="I393" t="s">
        <v>2301</v>
      </c>
      <c r="J393" t="s">
        <v>2302</v>
      </c>
      <c r="K393" t="s">
        <v>2300</v>
      </c>
      <c r="M393" t="s">
        <v>918</v>
      </c>
      <c r="N393" t="s">
        <v>2303</v>
      </c>
      <c r="O393" t="s">
        <v>2304</v>
      </c>
    </row>
    <row r="394" spans="1:15" x14ac:dyDescent="0.35">
      <c r="A394" t="s">
        <v>262</v>
      </c>
      <c r="B394" t="s">
        <v>2404</v>
      </c>
      <c r="C394" t="s">
        <v>2300</v>
      </c>
      <c r="D394" t="s">
        <v>932</v>
      </c>
      <c r="E394">
        <v>125</v>
      </c>
      <c r="F394" t="s">
        <v>1576</v>
      </c>
      <c r="G394">
        <v>2026</v>
      </c>
      <c r="H394" t="s">
        <v>2300</v>
      </c>
      <c r="I394" t="s">
        <v>2307</v>
      </c>
      <c r="J394" t="s">
        <v>2308</v>
      </c>
      <c r="K394" t="s">
        <v>2300</v>
      </c>
      <c r="M394" t="s">
        <v>918</v>
      </c>
      <c r="N394" t="s">
        <v>2309</v>
      </c>
      <c r="O394" t="s">
        <v>2310</v>
      </c>
    </row>
    <row r="395" spans="1:15" x14ac:dyDescent="0.35">
      <c r="A395" t="s">
        <v>361</v>
      </c>
      <c r="B395" t="s">
        <v>2406</v>
      </c>
      <c r="C395" t="s">
        <v>2300</v>
      </c>
      <c r="D395" t="s">
        <v>932</v>
      </c>
      <c r="E395">
        <v>125</v>
      </c>
      <c r="F395" t="s">
        <v>2313</v>
      </c>
      <c r="G395">
        <v>2026</v>
      </c>
      <c r="H395" t="s">
        <v>2300</v>
      </c>
      <c r="I395" t="s">
        <v>2307</v>
      </c>
      <c r="J395" t="s">
        <v>2314</v>
      </c>
      <c r="K395" t="s">
        <v>2300</v>
      </c>
      <c r="M395" t="s">
        <v>918</v>
      </c>
      <c r="N395" t="s">
        <v>2315</v>
      </c>
      <c r="O395" t="s">
        <v>2316</v>
      </c>
    </row>
    <row r="396" spans="1:15" x14ac:dyDescent="0.35">
      <c r="A396" t="s">
        <v>2467</v>
      </c>
      <c r="B396" t="s">
        <v>2402</v>
      </c>
      <c r="C396" t="s">
        <v>2300</v>
      </c>
      <c r="D396" t="s">
        <v>932</v>
      </c>
      <c r="E396">
        <v>125</v>
      </c>
      <c r="F396" t="s">
        <v>1006</v>
      </c>
      <c r="G396">
        <v>2026</v>
      </c>
      <c r="H396" t="s">
        <v>2300</v>
      </c>
      <c r="I396" t="s">
        <v>2301</v>
      </c>
      <c r="J396" t="s">
        <v>2302</v>
      </c>
      <c r="K396" t="s">
        <v>2300</v>
      </c>
      <c r="M396" t="s">
        <v>969</v>
      </c>
      <c r="N396" t="s">
        <v>2303</v>
      </c>
      <c r="O396" t="s">
        <v>2304</v>
      </c>
    </row>
    <row r="397" spans="1:15" x14ac:dyDescent="0.35">
      <c r="A397" t="s">
        <v>2468</v>
      </c>
      <c r="B397" t="s">
        <v>2404</v>
      </c>
      <c r="C397" t="s">
        <v>2300</v>
      </c>
      <c r="D397" t="s">
        <v>932</v>
      </c>
      <c r="E397">
        <v>125</v>
      </c>
      <c r="F397" t="s">
        <v>1576</v>
      </c>
      <c r="G397">
        <v>2026</v>
      </c>
      <c r="H397" t="s">
        <v>2300</v>
      </c>
      <c r="I397" t="s">
        <v>2307</v>
      </c>
      <c r="J397" t="s">
        <v>2308</v>
      </c>
      <c r="K397" t="s">
        <v>2300</v>
      </c>
      <c r="M397" t="s">
        <v>969</v>
      </c>
      <c r="N397" t="s">
        <v>2309</v>
      </c>
      <c r="O397" t="s">
        <v>2310</v>
      </c>
    </row>
    <row r="398" spans="1:15" x14ac:dyDescent="0.35">
      <c r="A398" t="s">
        <v>2469</v>
      </c>
      <c r="B398" t="s">
        <v>2406</v>
      </c>
      <c r="C398" t="s">
        <v>2300</v>
      </c>
      <c r="D398" t="s">
        <v>932</v>
      </c>
      <c r="E398">
        <v>125</v>
      </c>
      <c r="F398" t="s">
        <v>2313</v>
      </c>
      <c r="G398">
        <v>2026</v>
      </c>
      <c r="H398" t="s">
        <v>2300</v>
      </c>
      <c r="I398" t="s">
        <v>2307</v>
      </c>
      <c r="J398" t="s">
        <v>2314</v>
      </c>
      <c r="K398" t="s">
        <v>2300</v>
      </c>
      <c r="M398" t="s">
        <v>969</v>
      </c>
      <c r="N398" t="s">
        <v>2315</v>
      </c>
      <c r="O398" t="s">
        <v>2316</v>
      </c>
    </row>
    <row r="399" spans="1:15" x14ac:dyDescent="0.35">
      <c r="A399" t="s">
        <v>1561</v>
      </c>
      <c r="B399" t="s">
        <v>1562</v>
      </c>
      <c r="C399" t="s">
        <v>1563</v>
      </c>
      <c r="D399" t="s">
        <v>932</v>
      </c>
      <c r="E399">
        <v>150</v>
      </c>
      <c r="F399" t="s">
        <v>942</v>
      </c>
      <c r="G399">
        <v>2025</v>
      </c>
      <c r="H399" t="s">
        <v>1563</v>
      </c>
      <c r="I399" t="s">
        <v>1564</v>
      </c>
      <c r="J399" t="s">
        <v>919</v>
      </c>
      <c r="K399" t="s">
        <v>919</v>
      </c>
      <c r="M399" t="s">
        <v>952</v>
      </c>
      <c r="N399" t="s">
        <v>1565</v>
      </c>
      <c r="O399" t="s">
        <v>922</v>
      </c>
    </row>
    <row r="400" spans="1:15" x14ac:dyDescent="0.35">
      <c r="A400" t="s">
        <v>1566</v>
      </c>
      <c r="B400" t="s">
        <v>1567</v>
      </c>
      <c r="C400" t="s">
        <v>1563</v>
      </c>
      <c r="D400" t="s">
        <v>932</v>
      </c>
      <c r="E400">
        <v>150</v>
      </c>
      <c r="F400" t="s">
        <v>1006</v>
      </c>
      <c r="G400">
        <v>2025</v>
      </c>
      <c r="H400" t="s">
        <v>1563</v>
      </c>
      <c r="I400" t="s">
        <v>1564</v>
      </c>
      <c r="J400" t="s">
        <v>919</v>
      </c>
      <c r="K400" t="s">
        <v>919</v>
      </c>
      <c r="M400" t="s">
        <v>952</v>
      </c>
      <c r="N400" t="s">
        <v>1568</v>
      </c>
      <c r="O400" t="s">
        <v>922</v>
      </c>
    </row>
    <row r="401" spans="1:15" x14ac:dyDescent="0.35">
      <c r="A401" t="s">
        <v>1569</v>
      </c>
      <c r="B401" t="s">
        <v>1570</v>
      </c>
      <c r="C401" t="s">
        <v>1563</v>
      </c>
      <c r="D401" t="s">
        <v>932</v>
      </c>
      <c r="E401">
        <v>150</v>
      </c>
      <c r="F401" t="s">
        <v>1006</v>
      </c>
      <c r="G401">
        <v>2025</v>
      </c>
      <c r="H401" t="s">
        <v>1563</v>
      </c>
      <c r="I401" t="s">
        <v>1564</v>
      </c>
      <c r="J401" t="s">
        <v>919</v>
      </c>
      <c r="K401" t="s">
        <v>919</v>
      </c>
      <c r="M401" t="s">
        <v>920</v>
      </c>
      <c r="N401" t="s">
        <v>1568</v>
      </c>
      <c r="O401" t="s">
        <v>922</v>
      </c>
    </row>
    <row r="402" spans="1:15" x14ac:dyDescent="0.35">
      <c r="A402" t="s">
        <v>1571</v>
      </c>
      <c r="B402" t="s">
        <v>1572</v>
      </c>
      <c r="C402" t="s">
        <v>1563</v>
      </c>
      <c r="D402" t="s">
        <v>932</v>
      </c>
      <c r="E402">
        <v>150</v>
      </c>
      <c r="F402" t="s">
        <v>942</v>
      </c>
      <c r="G402">
        <v>2025</v>
      </c>
      <c r="H402" t="s">
        <v>1563</v>
      </c>
      <c r="I402" t="s">
        <v>1564</v>
      </c>
      <c r="J402" t="s">
        <v>919</v>
      </c>
      <c r="K402" t="s">
        <v>919</v>
      </c>
      <c r="M402" t="s">
        <v>920</v>
      </c>
      <c r="N402" t="s">
        <v>1565</v>
      </c>
      <c r="O402" t="s">
        <v>922</v>
      </c>
    </row>
    <row r="403" spans="1:15" x14ac:dyDescent="0.35">
      <c r="A403" t="s">
        <v>1517</v>
      </c>
      <c r="B403" t="s">
        <v>1518</v>
      </c>
      <c r="C403" t="s">
        <v>1519</v>
      </c>
      <c r="D403" t="s">
        <v>932</v>
      </c>
      <c r="E403">
        <v>160</v>
      </c>
      <c r="F403" t="s">
        <v>951</v>
      </c>
      <c r="G403">
        <v>2025</v>
      </c>
      <c r="H403" t="s">
        <v>1519</v>
      </c>
      <c r="I403" t="s">
        <v>1520</v>
      </c>
      <c r="J403" t="s">
        <v>1486</v>
      </c>
      <c r="K403" t="s">
        <v>1519</v>
      </c>
      <c r="L403" t="s">
        <v>1521</v>
      </c>
      <c r="M403" t="s">
        <v>920</v>
      </c>
      <c r="N403" t="s">
        <v>1522</v>
      </c>
      <c r="O403" t="s">
        <v>1523</v>
      </c>
    </row>
    <row r="404" spans="1:15" x14ac:dyDescent="0.35">
      <c r="A404" t="s">
        <v>1524</v>
      </c>
      <c r="B404" t="s">
        <v>1525</v>
      </c>
      <c r="C404" t="s">
        <v>1519</v>
      </c>
      <c r="D404" t="s">
        <v>932</v>
      </c>
      <c r="E404">
        <v>160</v>
      </c>
      <c r="F404" t="s">
        <v>958</v>
      </c>
      <c r="G404">
        <v>2024</v>
      </c>
      <c r="H404" t="s">
        <v>1519</v>
      </c>
      <c r="I404" t="s">
        <v>1520</v>
      </c>
      <c r="J404" t="s">
        <v>1486</v>
      </c>
      <c r="K404" t="s">
        <v>1519</v>
      </c>
      <c r="L404" t="s">
        <v>1521</v>
      </c>
      <c r="M404" t="s">
        <v>920</v>
      </c>
      <c r="N404" t="s">
        <v>1526</v>
      </c>
      <c r="O404" t="s">
        <v>922</v>
      </c>
    </row>
    <row r="405" spans="1:15" x14ac:dyDescent="0.35">
      <c r="A405" t="s">
        <v>1527</v>
      </c>
      <c r="B405" t="s">
        <v>1528</v>
      </c>
      <c r="C405" t="s">
        <v>1519</v>
      </c>
      <c r="D405" t="s">
        <v>932</v>
      </c>
      <c r="E405">
        <v>160</v>
      </c>
      <c r="F405" t="s">
        <v>958</v>
      </c>
      <c r="G405">
        <v>2025</v>
      </c>
      <c r="H405" t="s">
        <v>1519</v>
      </c>
      <c r="I405" t="s">
        <v>1520</v>
      </c>
      <c r="J405" t="s">
        <v>1486</v>
      </c>
      <c r="K405" t="s">
        <v>1519</v>
      </c>
      <c r="L405" t="s">
        <v>1521</v>
      </c>
      <c r="M405" t="s">
        <v>920</v>
      </c>
      <c r="N405" t="s">
        <v>1526</v>
      </c>
      <c r="O405" t="s">
        <v>1529</v>
      </c>
    </row>
    <row r="406" spans="1:15" x14ac:dyDescent="0.35">
      <c r="A406" t="s">
        <v>1530</v>
      </c>
      <c r="B406" t="s">
        <v>1531</v>
      </c>
      <c r="C406" t="s">
        <v>1519</v>
      </c>
      <c r="D406" t="s">
        <v>932</v>
      </c>
      <c r="E406">
        <v>160</v>
      </c>
      <c r="F406" t="s">
        <v>942</v>
      </c>
      <c r="G406">
        <v>2025</v>
      </c>
      <c r="H406" t="s">
        <v>1519</v>
      </c>
      <c r="I406" t="s">
        <v>1520</v>
      </c>
      <c r="J406" t="s">
        <v>1486</v>
      </c>
      <c r="K406" t="s">
        <v>1519</v>
      </c>
      <c r="L406" t="s">
        <v>1521</v>
      </c>
      <c r="M406" t="s">
        <v>920</v>
      </c>
      <c r="N406" t="s">
        <v>1532</v>
      </c>
      <c r="O406" t="s">
        <v>1533</v>
      </c>
    </row>
    <row r="407" spans="1:15" x14ac:dyDescent="0.35">
      <c r="A407" t="s">
        <v>1534</v>
      </c>
      <c r="B407" t="s">
        <v>1535</v>
      </c>
      <c r="C407" t="s">
        <v>1519</v>
      </c>
      <c r="D407" t="s">
        <v>932</v>
      </c>
      <c r="E407">
        <v>160</v>
      </c>
      <c r="F407" t="s">
        <v>951</v>
      </c>
      <c r="G407">
        <v>2025</v>
      </c>
      <c r="H407" t="s">
        <v>1519</v>
      </c>
      <c r="I407" t="s">
        <v>1520</v>
      </c>
      <c r="J407" t="s">
        <v>1486</v>
      </c>
      <c r="K407" t="s">
        <v>1519</v>
      </c>
      <c r="L407" t="s">
        <v>1521</v>
      </c>
      <c r="M407" t="s">
        <v>952</v>
      </c>
      <c r="N407" t="s">
        <v>1522</v>
      </c>
      <c r="O407" t="s">
        <v>1523</v>
      </c>
    </row>
    <row r="408" spans="1:15" x14ac:dyDescent="0.35">
      <c r="A408" t="s">
        <v>1536</v>
      </c>
      <c r="B408" t="s">
        <v>1537</v>
      </c>
      <c r="C408" t="s">
        <v>1519</v>
      </c>
      <c r="D408" t="s">
        <v>932</v>
      </c>
      <c r="E408">
        <v>160</v>
      </c>
      <c r="F408" t="s">
        <v>951</v>
      </c>
      <c r="G408">
        <v>2025</v>
      </c>
      <c r="H408" t="s">
        <v>1519</v>
      </c>
      <c r="I408" t="s">
        <v>1520</v>
      </c>
      <c r="J408" t="s">
        <v>1486</v>
      </c>
      <c r="K408" t="s">
        <v>1519</v>
      </c>
      <c r="L408" t="s">
        <v>1521</v>
      </c>
      <c r="M408" t="s">
        <v>969</v>
      </c>
      <c r="N408" t="s">
        <v>1522</v>
      </c>
      <c r="O408" t="s">
        <v>1523</v>
      </c>
    </row>
    <row r="409" spans="1:15" x14ac:dyDescent="0.35">
      <c r="A409" t="s">
        <v>1538</v>
      </c>
      <c r="B409" t="s">
        <v>1539</v>
      </c>
      <c r="C409" t="s">
        <v>1519</v>
      </c>
      <c r="D409" t="s">
        <v>932</v>
      </c>
      <c r="E409">
        <v>160</v>
      </c>
      <c r="F409" t="s">
        <v>951</v>
      </c>
      <c r="G409">
        <v>2025</v>
      </c>
      <c r="H409" t="s">
        <v>1519</v>
      </c>
      <c r="I409" t="s">
        <v>1520</v>
      </c>
      <c r="J409" t="s">
        <v>1486</v>
      </c>
      <c r="K409" t="s">
        <v>1519</v>
      </c>
      <c r="L409" t="s">
        <v>1521</v>
      </c>
      <c r="M409" t="s">
        <v>918</v>
      </c>
      <c r="N409" t="s">
        <v>1522</v>
      </c>
      <c r="O409" t="s">
        <v>1523</v>
      </c>
    </row>
    <row r="410" spans="1:15" x14ac:dyDescent="0.35">
      <c r="A410" t="s">
        <v>1540</v>
      </c>
      <c r="B410" t="s">
        <v>1541</v>
      </c>
      <c r="C410" t="s">
        <v>1519</v>
      </c>
      <c r="D410" t="s">
        <v>932</v>
      </c>
      <c r="E410">
        <v>160</v>
      </c>
      <c r="F410" t="s">
        <v>958</v>
      </c>
      <c r="G410">
        <v>2024</v>
      </c>
      <c r="H410" t="s">
        <v>1519</v>
      </c>
      <c r="I410" t="s">
        <v>1520</v>
      </c>
      <c r="J410" t="s">
        <v>1486</v>
      </c>
      <c r="K410" t="s">
        <v>1519</v>
      </c>
      <c r="L410" t="s">
        <v>1521</v>
      </c>
      <c r="M410" t="s">
        <v>952</v>
      </c>
      <c r="N410" t="s">
        <v>1526</v>
      </c>
      <c r="O410" t="s">
        <v>922</v>
      </c>
    </row>
    <row r="411" spans="1:15" x14ac:dyDescent="0.35">
      <c r="A411" t="s">
        <v>362</v>
      </c>
      <c r="B411" t="s">
        <v>188</v>
      </c>
      <c r="C411" t="s">
        <v>1519</v>
      </c>
      <c r="D411" t="s">
        <v>932</v>
      </c>
      <c r="E411">
        <v>160</v>
      </c>
      <c r="F411" t="s">
        <v>958</v>
      </c>
      <c r="G411">
        <v>2024</v>
      </c>
      <c r="H411" t="s">
        <v>1519</v>
      </c>
      <c r="I411" t="s">
        <v>1520</v>
      </c>
      <c r="J411" t="s">
        <v>1486</v>
      </c>
      <c r="K411" t="s">
        <v>1519</v>
      </c>
      <c r="L411" t="s">
        <v>1521</v>
      </c>
      <c r="M411" t="s">
        <v>918</v>
      </c>
      <c r="N411" t="s">
        <v>1526</v>
      </c>
      <c r="O411" t="s">
        <v>922</v>
      </c>
    </row>
    <row r="412" spans="1:15" x14ac:dyDescent="0.35">
      <c r="A412" t="s">
        <v>658</v>
      </c>
      <c r="B412" t="s">
        <v>1542</v>
      </c>
      <c r="C412" t="s">
        <v>1519</v>
      </c>
      <c r="D412" t="s">
        <v>932</v>
      </c>
      <c r="E412">
        <v>160</v>
      </c>
      <c r="F412" t="s">
        <v>958</v>
      </c>
      <c r="G412">
        <v>2025</v>
      </c>
      <c r="H412" t="s">
        <v>1519</v>
      </c>
      <c r="I412" t="s">
        <v>1520</v>
      </c>
      <c r="J412" t="s">
        <v>1486</v>
      </c>
      <c r="K412" t="s">
        <v>1519</v>
      </c>
      <c r="L412" t="s">
        <v>1521</v>
      </c>
      <c r="M412" t="s">
        <v>952</v>
      </c>
      <c r="N412" t="s">
        <v>1526</v>
      </c>
      <c r="O412" t="s">
        <v>1529</v>
      </c>
    </row>
    <row r="413" spans="1:15" x14ac:dyDescent="0.35">
      <c r="A413" t="s">
        <v>1543</v>
      </c>
      <c r="B413" t="s">
        <v>1544</v>
      </c>
      <c r="C413" t="s">
        <v>1519</v>
      </c>
      <c r="D413" t="s">
        <v>932</v>
      </c>
      <c r="E413">
        <v>160</v>
      </c>
      <c r="F413" t="s">
        <v>958</v>
      </c>
      <c r="G413">
        <v>2025</v>
      </c>
      <c r="H413" t="s">
        <v>1519</v>
      </c>
      <c r="I413" t="s">
        <v>1520</v>
      </c>
      <c r="J413" t="s">
        <v>1486</v>
      </c>
      <c r="K413" t="s">
        <v>1519</v>
      </c>
      <c r="L413" t="s">
        <v>1521</v>
      </c>
      <c r="M413" t="s">
        <v>969</v>
      </c>
      <c r="N413" t="s">
        <v>1526</v>
      </c>
      <c r="O413" t="s">
        <v>1529</v>
      </c>
    </row>
    <row r="414" spans="1:15" x14ac:dyDescent="0.35">
      <c r="A414" t="s">
        <v>304</v>
      </c>
      <c r="B414" t="s">
        <v>1545</v>
      </c>
      <c r="C414" t="s">
        <v>1519</v>
      </c>
      <c r="D414" t="s">
        <v>932</v>
      </c>
      <c r="E414">
        <v>160</v>
      </c>
      <c r="F414" t="s">
        <v>958</v>
      </c>
      <c r="G414">
        <v>2025</v>
      </c>
      <c r="H414" t="s">
        <v>1519</v>
      </c>
      <c r="I414" t="s">
        <v>1520</v>
      </c>
      <c r="J414" t="s">
        <v>1486</v>
      </c>
      <c r="K414" t="s">
        <v>1519</v>
      </c>
      <c r="L414" t="s">
        <v>1521</v>
      </c>
      <c r="M414" t="s">
        <v>918</v>
      </c>
      <c r="N414" t="s">
        <v>1526</v>
      </c>
      <c r="O414" t="s">
        <v>1529</v>
      </c>
    </row>
    <row r="415" spans="1:15" x14ac:dyDescent="0.35">
      <c r="A415" t="s">
        <v>1546</v>
      </c>
      <c r="B415" t="s">
        <v>1547</v>
      </c>
      <c r="C415" t="s">
        <v>1519</v>
      </c>
      <c r="D415" t="s">
        <v>932</v>
      </c>
      <c r="E415">
        <v>160</v>
      </c>
      <c r="F415" t="s">
        <v>942</v>
      </c>
      <c r="G415">
        <v>2025</v>
      </c>
      <c r="H415" t="s">
        <v>1519</v>
      </c>
      <c r="I415" t="s">
        <v>1520</v>
      </c>
      <c r="J415" t="s">
        <v>1486</v>
      </c>
      <c r="K415" t="s">
        <v>1519</v>
      </c>
      <c r="L415" t="s">
        <v>1521</v>
      </c>
      <c r="M415" t="s">
        <v>952</v>
      </c>
      <c r="N415" t="s">
        <v>1532</v>
      </c>
      <c r="O415" t="s">
        <v>1533</v>
      </c>
    </row>
    <row r="416" spans="1:15" x14ac:dyDescent="0.35">
      <c r="A416" t="s">
        <v>1548</v>
      </c>
      <c r="B416" t="s">
        <v>1549</v>
      </c>
      <c r="C416" t="s">
        <v>1519</v>
      </c>
      <c r="D416" t="s">
        <v>932</v>
      </c>
      <c r="E416">
        <v>160</v>
      </c>
      <c r="F416" t="s">
        <v>942</v>
      </c>
      <c r="G416">
        <v>2025</v>
      </c>
      <c r="H416" t="s">
        <v>1519</v>
      </c>
      <c r="I416" t="s">
        <v>1520</v>
      </c>
      <c r="J416" t="s">
        <v>1486</v>
      </c>
      <c r="K416" t="s">
        <v>1519</v>
      </c>
      <c r="L416" t="s">
        <v>1521</v>
      </c>
      <c r="M416" t="s">
        <v>969</v>
      </c>
      <c r="N416" t="s">
        <v>1532</v>
      </c>
      <c r="O416" t="s">
        <v>1533</v>
      </c>
    </row>
    <row r="417" spans="1:15" x14ac:dyDescent="0.35">
      <c r="A417" t="s">
        <v>1550</v>
      </c>
      <c r="B417" t="s">
        <v>1551</v>
      </c>
      <c r="C417" t="s">
        <v>1519</v>
      </c>
      <c r="D417" t="s">
        <v>932</v>
      </c>
      <c r="E417">
        <v>160</v>
      </c>
      <c r="F417" t="s">
        <v>942</v>
      </c>
      <c r="G417">
        <v>2025</v>
      </c>
      <c r="H417" t="s">
        <v>1519</v>
      </c>
      <c r="I417" t="s">
        <v>1520</v>
      </c>
      <c r="J417" t="s">
        <v>1486</v>
      </c>
      <c r="K417" t="s">
        <v>1519</v>
      </c>
      <c r="L417" t="s">
        <v>1521</v>
      </c>
      <c r="M417" t="s">
        <v>918</v>
      </c>
      <c r="N417" t="s">
        <v>1532</v>
      </c>
      <c r="O417" t="s">
        <v>1533</v>
      </c>
    </row>
    <row r="418" spans="1:15" x14ac:dyDescent="0.35">
      <c r="A418" t="s">
        <v>1552</v>
      </c>
      <c r="B418" t="s">
        <v>1553</v>
      </c>
      <c r="C418" t="s">
        <v>1519</v>
      </c>
      <c r="D418" t="s">
        <v>932</v>
      </c>
      <c r="E418">
        <v>160</v>
      </c>
      <c r="F418" t="s">
        <v>958</v>
      </c>
      <c r="G418">
        <v>2024</v>
      </c>
      <c r="H418" t="s">
        <v>1519</v>
      </c>
      <c r="I418" t="s">
        <v>1520</v>
      </c>
      <c r="J418" t="s">
        <v>1486</v>
      </c>
      <c r="K418" t="s">
        <v>1519</v>
      </c>
      <c r="L418" t="s">
        <v>1521</v>
      </c>
      <c r="M418" t="s">
        <v>969</v>
      </c>
      <c r="N418" t="s">
        <v>1526</v>
      </c>
      <c r="O418" t="s">
        <v>922</v>
      </c>
    </row>
    <row r="419" spans="1:15" x14ac:dyDescent="0.35">
      <c r="A419" t="s">
        <v>1554</v>
      </c>
      <c r="B419" t="s">
        <v>1555</v>
      </c>
      <c r="C419" t="s">
        <v>1519</v>
      </c>
      <c r="D419" t="s">
        <v>932</v>
      </c>
      <c r="E419">
        <v>160</v>
      </c>
      <c r="F419" t="s">
        <v>951</v>
      </c>
      <c r="G419">
        <v>2025</v>
      </c>
      <c r="H419" t="s">
        <v>1519</v>
      </c>
      <c r="I419" t="s">
        <v>1520</v>
      </c>
      <c r="J419" t="s">
        <v>1486</v>
      </c>
      <c r="K419" t="s">
        <v>1519</v>
      </c>
      <c r="L419" t="s">
        <v>1521</v>
      </c>
      <c r="M419" t="s">
        <v>920</v>
      </c>
      <c r="N419" t="s">
        <v>1522</v>
      </c>
      <c r="O419" t="s">
        <v>1497</v>
      </c>
    </row>
    <row r="420" spans="1:15" x14ac:dyDescent="0.35">
      <c r="A420" t="s">
        <v>1556</v>
      </c>
      <c r="B420" t="s">
        <v>1557</v>
      </c>
      <c r="C420" t="s">
        <v>1519</v>
      </c>
      <c r="D420" t="s">
        <v>932</v>
      </c>
      <c r="E420">
        <v>160</v>
      </c>
      <c r="F420" t="s">
        <v>942</v>
      </c>
      <c r="G420">
        <v>2025</v>
      </c>
      <c r="H420" t="s">
        <v>1519</v>
      </c>
      <c r="I420" t="s">
        <v>1520</v>
      </c>
      <c r="J420" t="s">
        <v>1486</v>
      </c>
      <c r="K420" t="s">
        <v>1519</v>
      </c>
      <c r="L420" t="s">
        <v>1521</v>
      </c>
      <c r="M420" t="s">
        <v>920</v>
      </c>
      <c r="N420" t="s">
        <v>1532</v>
      </c>
      <c r="O420" t="s">
        <v>1533</v>
      </c>
    </row>
    <row r="421" spans="1:15" x14ac:dyDescent="0.35">
      <c r="A421" t="s">
        <v>1558</v>
      </c>
      <c r="B421" t="s">
        <v>1559</v>
      </c>
      <c r="C421" t="s">
        <v>1519</v>
      </c>
      <c r="D421" t="s">
        <v>932</v>
      </c>
      <c r="E421">
        <v>160</v>
      </c>
      <c r="F421" t="s">
        <v>933</v>
      </c>
      <c r="G421">
        <v>2025</v>
      </c>
      <c r="H421" t="s">
        <v>1519</v>
      </c>
      <c r="I421" t="s">
        <v>1520</v>
      </c>
      <c r="J421" t="s">
        <v>1486</v>
      </c>
      <c r="K421" t="s">
        <v>1519</v>
      </c>
      <c r="L421" t="s">
        <v>1521</v>
      </c>
      <c r="M421" t="s">
        <v>920</v>
      </c>
      <c r="N421" t="s">
        <v>1560</v>
      </c>
      <c r="O421" t="s">
        <v>1214</v>
      </c>
    </row>
    <row r="422" spans="1:15" x14ac:dyDescent="0.35">
      <c r="A422" t="s">
        <v>2229</v>
      </c>
      <c r="B422" t="s">
        <v>2230</v>
      </c>
      <c r="C422" t="s">
        <v>1519</v>
      </c>
      <c r="D422" t="s">
        <v>932</v>
      </c>
      <c r="E422">
        <v>160</v>
      </c>
      <c r="F422" t="s">
        <v>958</v>
      </c>
      <c r="G422">
        <v>2026</v>
      </c>
      <c r="H422" t="s">
        <v>1519</v>
      </c>
      <c r="I422" t="s">
        <v>1520</v>
      </c>
      <c r="J422" t="s">
        <v>1486</v>
      </c>
      <c r="K422" t="s">
        <v>1519</v>
      </c>
      <c r="L422" t="s">
        <v>1521</v>
      </c>
      <c r="M422" t="s">
        <v>920</v>
      </c>
      <c r="N422" t="s">
        <v>1526</v>
      </c>
      <c r="O422" t="s">
        <v>1529</v>
      </c>
    </row>
    <row r="423" spans="1:15" x14ac:dyDescent="0.35">
      <c r="A423" t="s">
        <v>2231</v>
      </c>
      <c r="B423" t="s">
        <v>2232</v>
      </c>
      <c r="C423" t="s">
        <v>1519</v>
      </c>
      <c r="D423" t="s">
        <v>932</v>
      </c>
      <c r="E423">
        <v>160</v>
      </c>
      <c r="F423" t="s">
        <v>951</v>
      </c>
      <c r="G423">
        <v>2026</v>
      </c>
      <c r="H423" t="s">
        <v>1519</v>
      </c>
      <c r="I423" t="s">
        <v>1520</v>
      </c>
      <c r="J423" t="s">
        <v>1486</v>
      </c>
      <c r="K423" t="s">
        <v>1519</v>
      </c>
      <c r="L423" t="s">
        <v>1521</v>
      </c>
      <c r="M423" t="s">
        <v>920</v>
      </c>
      <c r="N423" t="s">
        <v>1522</v>
      </c>
      <c r="O423" t="s">
        <v>1523</v>
      </c>
    </row>
    <row r="424" spans="1:15" x14ac:dyDescent="0.35">
      <c r="A424" t="s">
        <v>2233</v>
      </c>
      <c r="B424" t="s">
        <v>2234</v>
      </c>
      <c r="C424" t="s">
        <v>1519</v>
      </c>
      <c r="D424" t="s">
        <v>932</v>
      </c>
      <c r="E424">
        <v>160</v>
      </c>
      <c r="F424" t="s">
        <v>942</v>
      </c>
      <c r="G424">
        <v>2026</v>
      </c>
      <c r="H424" t="s">
        <v>1519</v>
      </c>
      <c r="I424" t="s">
        <v>1520</v>
      </c>
      <c r="J424" t="s">
        <v>1486</v>
      </c>
      <c r="K424" t="s">
        <v>1519</v>
      </c>
      <c r="L424" t="s">
        <v>1521</v>
      </c>
      <c r="M424" t="s">
        <v>920</v>
      </c>
      <c r="N424" t="s">
        <v>1532</v>
      </c>
      <c r="O424" t="s">
        <v>1533</v>
      </c>
    </row>
    <row r="425" spans="1:15" x14ac:dyDescent="0.35">
      <c r="A425" t="s">
        <v>2349</v>
      </c>
      <c r="B425" t="s">
        <v>2350</v>
      </c>
      <c r="C425" t="s">
        <v>1519</v>
      </c>
      <c r="D425" t="s">
        <v>932</v>
      </c>
      <c r="E425">
        <v>160</v>
      </c>
      <c r="F425" t="s">
        <v>958</v>
      </c>
      <c r="G425">
        <v>2026</v>
      </c>
      <c r="H425" t="s">
        <v>1519</v>
      </c>
      <c r="I425" t="s">
        <v>1520</v>
      </c>
      <c r="J425" t="s">
        <v>1486</v>
      </c>
      <c r="K425" t="s">
        <v>1519</v>
      </c>
      <c r="L425" t="s">
        <v>1521</v>
      </c>
      <c r="M425" t="s">
        <v>952</v>
      </c>
      <c r="N425" t="s">
        <v>1526</v>
      </c>
      <c r="O425" t="s">
        <v>1529</v>
      </c>
    </row>
    <row r="426" spans="1:15" x14ac:dyDescent="0.35">
      <c r="A426" t="s">
        <v>2351</v>
      </c>
      <c r="B426" t="s">
        <v>2352</v>
      </c>
      <c r="C426" t="s">
        <v>1519</v>
      </c>
      <c r="D426" t="s">
        <v>932</v>
      </c>
      <c r="E426">
        <v>160</v>
      </c>
      <c r="F426" t="s">
        <v>951</v>
      </c>
      <c r="G426">
        <v>2026</v>
      </c>
      <c r="H426" t="s">
        <v>1519</v>
      </c>
      <c r="I426" t="s">
        <v>1520</v>
      </c>
      <c r="J426" t="s">
        <v>1486</v>
      </c>
      <c r="K426" t="s">
        <v>1519</v>
      </c>
      <c r="L426" t="s">
        <v>1521</v>
      </c>
      <c r="M426" t="s">
        <v>952</v>
      </c>
      <c r="N426" t="s">
        <v>1522</v>
      </c>
      <c r="O426" t="s">
        <v>1523</v>
      </c>
    </row>
    <row r="427" spans="1:15" x14ac:dyDescent="0.35">
      <c r="A427" t="s">
        <v>2353</v>
      </c>
      <c r="B427" t="s">
        <v>2354</v>
      </c>
      <c r="C427" t="s">
        <v>1519</v>
      </c>
      <c r="D427" t="s">
        <v>932</v>
      </c>
      <c r="E427">
        <v>160</v>
      </c>
      <c r="F427" t="s">
        <v>942</v>
      </c>
      <c r="G427">
        <v>2026</v>
      </c>
      <c r="H427" t="s">
        <v>1519</v>
      </c>
      <c r="I427" t="s">
        <v>1520</v>
      </c>
      <c r="J427" t="s">
        <v>1486</v>
      </c>
      <c r="K427" t="s">
        <v>1519</v>
      </c>
      <c r="L427" t="s">
        <v>1521</v>
      </c>
      <c r="M427" t="s">
        <v>952</v>
      </c>
      <c r="N427" t="s">
        <v>1532</v>
      </c>
      <c r="O427" t="s">
        <v>1533</v>
      </c>
    </row>
    <row r="428" spans="1:15" x14ac:dyDescent="0.35">
      <c r="A428" t="s">
        <v>271</v>
      </c>
      <c r="B428" t="s">
        <v>2350</v>
      </c>
      <c r="C428" t="s">
        <v>1519</v>
      </c>
      <c r="D428" t="s">
        <v>932</v>
      </c>
      <c r="E428">
        <v>160</v>
      </c>
      <c r="F428" t="s">
        <v>958</v>
      </c>
      <c r="G428">
        <v>2026</v>
      </c>
      <c r="H428" t="s">
        <v>1519</v>
      </c>
      <c r="I428" t="s">
        <v>1520</v>
      </c>
      <c r="J428" t="s">
        <v>1486</v>
      </c>
      <c r="K428" t="s">
        <v>1519</v>
      </c>
      <c r="L428" t="s">
        <v>1521</v>
      </c>
      <c r="M428" t="s">
        <v>918</v>
      </c>
      <c r="N428" t="s">
        <v>1526</v>
      </c>
      <c r="O428" t="s">
        <v>1529</v>
      </c>
    </row>
    <row r="429" spans="1:15" x14ac:dyDescent="0.35">
      <c r="A429" t="s">
        <v>2413</v>
      </c>
      <c r="B429" t="s">
        <v>2352</v>
      </c>
      <c r="C429" t="s">
        <v>1519</v>
      </c>
      <c r="D429" t="s">
        <v>932</v>
      </c>
      <c r="E429">
        <v>160</v>
      </c>
      <c r="F429" t="s">
        <v>951</v>
      </c>
      <c r="G429">
        <v>2026</v>
      </c>
      <c r="H429" t="s">
        <v>1519</v>
      </c>
      <c r="I429" t="s">
        <v>1520</v>
      </c>
      <c r="J429" t="s">
        <v>1486</v>
      </c>
      <c r="K429" t="s">
        <v>1519</v>
      </c>
      <c r="L429" t="s">
        <v>1521</v>
      </c>
      <c r="M429" t="s">
        <v>918</v>
      </c>
      <c r="N429" t="s">
        <v>1522</v>
      </c>
      <c r="O429" t="s">
        <v>1523</v>
      </c>
    </row>
    <row r="430" spans="1:15" x14ac:dyDescent="0.35">
      <c r="A430" t="s">
        <v>2414</v>
      </c>
      <c r="B430" t="s">
        <v>2354</v>
      </c>
      <c r="C430" t="s">
        <v>1519</v>
      </c>
      <c r="D430" t="s">
        <v>932</v>
      </c>
      <c r="E430">
        <v>160</v>
      </c>
      <c r="F430" t="s">
        <v>942</v>
      </c>
      <c r="G430">
        <v>2026</v>
      </c>
      <c r="H430" t="s">
        <v>1519</v>
      </c>
      <c r="I430" t="s">
        <v>1520</v>
      </c>
      <c r="J430" t="s">
        <v>1486</v>
      </c>
      <c r="K430" t="s">
        <v>1519</v>
      </c>
      <c r="L430" t="s">
        <v>1521</v>
      </c>
      <c r="M430" t="s">
        <v>918</v>
      </c>
      <c r="N430" t="s">
        <v>1532</v>
      </c>
      <c r="O430" t="s">
        <v>1533</v>
      </c>
    </row>
    <row r="431" spans="1:15" x14ac:dyDescent="0.35">
      <c r="A431" t="s">
        <v>2441</v>
      </c>
      <c r="B431" t="s">
        <v>2350</v>
      </c>
      <c r="C431" t="s">
        <v>1519</v>
      </c>
      <c r="D431" t="s">
        <v>932</v>
      </c>
      <c r="E431">
        <v>160</v>
      </c>
      <c r="F431" t="s">
        <v>958</v>
      </c>
      <c r="G431">
        <v>2026</v>
      </c>
      <c r="H431" t="s">
        <v>1519</v>
      </c>
      <c r="I431" t="s">
        <v>1520</v>
      </c>
      <c r="J431" t="s">
        <v>1486</v>
      </c>
      <c r="K431" t="s">
        <v>1519</v>
      </c>
      <c r="L431" t="s">
        <v>1521</v>
      </c>
      <c r="M431" t="s">
        <v>969</v>
      </c>
      <c r="N431" t="s">
        <v>1526</v>
      </c>
      <c r="O431" t="s">
        <v>1529</v>
      </c>
    </row>
    <row r="432" spans="1:15" x14ac:dyDescent="0.35">
      <c r="A432" t="s">
        <v>2442</v>
      </c>
      <c r="B432" t="s">
        <v>2352</v>
      </c>
      <c r="C432" t="s">
        <v>1519</v>
      </c>
      <c r="D432" t="s">
        <v>932</v>
      </c>
      <c r="E432">
        <v>160</v>
      </c>
      <c r="F432" t="s">
        <v>951</v>
      </c>
      <c r="G432">
        <v>2026</v>
      </c>
      <c r="H432" t="s">
        <v>1519</v>
      </c>
      <c r="I432" t="s">
        <v>1520</v>
      </c>
      <c r="J432" t="s">
        <v>1486</v>
      </c>
      <c r="K432" t="s">
        <v>1519</v>
      </c>
      <c r="L432" t="s">
        <v>1521</v>
      </c>
      <c r="M432" t="s">
        <v>969</v>
      </c>
      <c r="N432" t="s">
        <v>1522</v>
      </c>
      <c r="O432" t="s">
        <v>1523</v>
      </c>
    </row>
    <row r="433" spans="1:15" x14ac:dyDescent="0.35">
      <c r="A433" t="s">
        <v>2443</v>
      </c>
      <c r="B433" t="s">
        <v>2354</v>
      </c>
      <c r="C433" t="s">
        <v>1519</v>
      </c>
      <c r="D433" t="s">
        <v>932</v>
      </c>
      <c r="E433">
        <v>160</v>
      </c>
      <c r="F433" t="s">
        <v>942</v>
      </c>
      <c r="G433">
        <v>2026</v>
      </c>
      <c r="H433" t="s">
        <v>1519</v>
      </c>
      <c r="I433" t="s">
        <v>1520</v>
      </c>
      <c r="J433" t="s">
        <v>1486</v>
      </c>
      <c r="K433" t="s">
        <v>1519</v>
      </c>
      <c r="L433" t="s">
        <v>1521</v>
      </c>
      <c r="M433" t="s">
        <v>969</v>
      </c>
      <c r="N433" t="s">
        <v>1532</v>
      </c>
      <c r="O433" t="s">
        <v>1533</v>
      </c>
    </row>
    <row r="434" spans="1:15" x14ac:dyDescent="0.35">
      <c r="A434" t="s">
        <v>2547</v>
      </c>
      <c r="B434" t="s">
        <v>2230</v>
      </c>
      <c r="C434" t="s">
        <v>1519</v>
      </c>
      <c r="D434" t="s">
        <v>932</v>
      </c>
      <c r="E434">
        <v>160</v>
      </c>
      <c r="F434" t="s">
        <v>958</v>
      </c>
      <c r="G434">
        <v>2026</v>
      </c>
      <c r="H434" t="s">
        <v>1519</v>
      </c>
      <c r="I434" t="s">
        <v>1520</v>
      </c>
      <c r="J434" t="s">
        <v>1486</v>
      </c>
      <c r="K434" t="s">
        <v>1519</v>
      </c>
      <c r="L434" t="s">
        <v>1521</v>
      </c>
      <c r="M434" t="s">
        <v>920</v>
      </c>
      <c r="N434" t="s">
        <v>1526</v>
      </c>
      <c r="O434" t="s">
        <v>1529</v>
      </c>
    </row>
    <row r="435" spans="1:15" x14ac:dyDescent="0.35">
      <c r="A435" t="s">
        <v>2548</v>
      </c>
      <c r="B435" t="s">
        <v>2232</v>
      </c>
      <c r="C435" t="s">
        <v>1519</v>
      </c>
      <c r="D435" t="s">
        <v>932</v>
      </c>
      <c r="E435">
        <v>160</v>
      </c>
      <c r="F435" t="s">
        <v>951</v>
      </c>
      <c r="G435">
        <v>2026</v>
      </c>
      <c r="H435" t="s">
        <v>1519</v>
      </c>
      <c r="I435" t="s">
        <v>1520</v>
      </c>
      <c r="J435" t="s">
        <v>1486</v>
      </c>
      <c r="K435" t="s">
        <v>1519</v>
      </c>
      <c r="L435" t="s">
        <v>1521</v>
      </c>
      <c r="M435" t="s">
        <v>920</v>
      </c>
      <c r="N435" t="s">
        <v>1522</v>
      </c>
      <c r="O435" t="s">
        <v>1523</v>
      </c>
    </row>
    <row r="436" spans="1:15" x14ac:dyDescent="0.35">
      <c r="A436" t="s">
        <v>2549</v>
      </c>
      <c r="B436" t="s">
        <v>2234</v>
      </c>
      <c r="C436" t="s">
        <v>1519</v>
      </c>
      <c r="D436" t="s">
        <v>932</v>
      </c>
      <c r="E436">
        <v>160</v>
      </c>
      <c r="F436" t="s">
        <v>942</v>
      </c>
      <c r="G436">
        <v>2026</v>
      </c>
      <c r="H436" t="s">
        <v>1519</v>
      </c>
      <c r="I436" t="s">
        <v>1520</v>
      </c>
      <c r="J436" t="s">
        <v>1486</v>
      </c>
      <c r="K436" t="s">
        <v>1519</v>
      </c>
      <c r="L436" t="s">
        <v>1521</v>
      </c>
      <c r="M436" t="s">
        <v>920</v>
      </c>
      <c r="N436" t="s">
        <v>1532</v>
      </c>
      <c r="O436" t="s">
        <v>1533</v>
      </c>
    </row>
    <row r="437" spans="1:15" x14ac:dyDescent="0.35">
      <c r="A437" t="s">
        <v>2550</v>
      </c>
      <c r="B437" t="s">
        <v>2350</v>
      </c>
      <c r="C437" t="s">
        <v>1519</v>
      </c>
      <c r="D437" t="s">
        <v>932</v>
      </c>
      <c r="E437">
        <v>160</v>
      </c>
      <c r="F437" t="s">
        <v>958</v>
      </c>
      <c r="G437">
        <v>2026</v>
      </c>
      <c r="H437" t="s">
        <v>1519</v>
      </c>
      <c r="I437" t="s">
        <v>1520</v>
      </c>
      <c r="J437" t="s">
        <v>1486</v>
      </c>
      <c r="K437" t="s">
        <v>1519</v>
      </c>
      <c r="L437" t="s">
        <v>1521</v>
      </c>
      <c r="M437" t="s">
        <v>952</v>
      </c>
      <c r="N437" t="s">
        <v>1526</v>
      </c>
      <c r="O437" t="s">
        <v>1529</v>
      </c>
    </row>
    <row r="438" spans="1:15" x14ac:dyDescent="0.35">
      <c r="A438" t="s">
        <v>2551</v>
      </c>
      <c r="B438" t="s">
        <v>2352</v>
      </c>
      <c r="C438" t="s">
        <v>1519</v>
      </c>
      <c r="D438" t="s">
        <v>932</v>
      </c>
      <c r="E438">
        <v>160</v>
      </c>
      <c r="F438" t="s">
        <v>951</v>
      </c>
      <c r="G438">
        <v>2026</v>
      </c>
      <c r="H438" t="s">
        <v>1519</v>
      </c>
      <c r="I438" t="s">
        <v>1520</v>
      </c>
      <c r="J438" t="s">
        <v>1486</v>
      </c>
      <c r="K438" t="s">
        <v>1519</v>
      </c>
      <c r="L438" t="s">
        <v>1521</v>
      </c>
      <c r="M438" t="s">
        <v>952</v>
      </c>
      <c r="N438" t="s">
        <v>1522</v>
      </c>
      <c r="O438" t="s">
        <v>1523</v>
      </c>
    </row>
    <row r="439" spans="1:15" x14ac:dyDescent="0.35">
      <c r="A439" t="s">
        <v>2552</v>
      </c>
      <c r="B439" t="s">
        <v>2354</v>
      </c>
      <c r="C439" t="s">
        <v>1519</v>
      </c>
      <c r="D439" t="s">
        <v>932</v>
      </c>
      <c r="E439">
        <v>160</v>
      </c>
      <c r="F439" t="s">
        <v>942</v>
      </c>
      <c r="G439">
        <v>2026</v>
      </c>
      <c r="H439" t="s">
        <v>1519</v>
      </c>
      <c r="I439" t="s">
        <v>1520</v>
      </c>
      <c r="J439" t="s">
        <v>1486</v>
      </c>
      <c r="K439" t="s">
        <v>1519</v>
      </c>
      <c r="L439" t="s">
        <v>1521</v>
      </c>
      <c r="M439" t="s">
        <v>952</v>
      </c>
      <c r="N439" t="s">
        <v>1532</v>
      </c>
      <c r="O439" t="s">
        <v>1533</v>
      </c>
    </row>
    <row r="440" spans="1:15" x14ac:dyDescent="0.35">
      <c r="A440" t="s">
        <v>420</v>
      </c>
      <c r="B440" t="s">
        <v>2350</v>
      </c>
      <c r="C440" t="s">
        <v>1519</v>
      </c>
      <c r="D440" t="s">
        <v>932</v>
      </c>
      <c r="E440">
        <v>160</v>
      </c>
      <c r="F440" t="s">
        <v>958</v>
      </c>
      <c r="G440">
        <v>2026</v>
      </c>
      <c r="H440" t="s">
        <v>1519</v>
      </c>
      <c r="I440" t="s">
        <v>1520</v>
      </c>
      <c r="J440" t="s">
        <v>1486</v>
      </c>
      <c r="K440" t="s">
        <v>1519</v>
      </c>
      <c r="L440" t="s">
        <v>1521</v>
      </c>
      <c r="M440" t="s">
        <v>918</v>
      </c>
      <c r="N440" t="s">
        <v>1526</v>
      </c>
      <c r="O440" t="s">
        <v>1529</v>
      </c>
    </row>
    <row r="441" spans="1:15" x14ac:dyDescent="0.35">
      <c r="A441" t="s">
        <v>2553</v>
      </c>
      <c r="B441" t="s">
        <v>2352</v>
      </c>
      <c r="C441" t="s">
        <v>1519</v>
      </c>
      <c r="D441" t="s">
        <v>932</v>
      </c>
      <c r="E441">
        <v>160</v>
      </c>
      <c r="F441" t="s">
        <v>951</v>
      </c>
      <c r="G441">
        <v>2026</v>
      </c>
      <c r="H441" t="s">
        <v>1519</v>
      </c>
      <c r="I441" t="s">
        <v>1520</v>
      </c>
      <c r="J441" t="s">
        <v>1486</v>
      </c>
      <c r="K441" t="s">
        <v>1519</v>
      </c>
      <c r="L441" t="s">
        <v>1521</v>
      </c>
      <c r="M441" t="s">
        <v>918</v>
      </c>
      <c r="N441" t="s">
        <v>1522</v>
      </c>
      <c r="O441" t="s">
        <v>1523</v>
      </c>
    </row>
    <row r="442" spans="1:15" x14ac:dyDescent="0.35">
      <c r="A442" t="s">
        <v>2554</v>
      </c>
      <c r="B442" t="s">
        <v>2354</v>
      </c>
      <c r="C442" t="s">
        <v>1519</v>
      </c>
      <c r="D442" t="s">
        <v>932</v>
      </c>
      <c r="E442">
        <v>160</v>
      </c>
      <c r="F442" t="s">
        <v>942</v>
      </c>
      <c r="G442">
        <v>2026</v>
      </c>
      <c r="H442" t="s">
        <v>1519</v>
      </c>
      <c r="I442" t="s">
        <v>1520</v>
      </c>
      <c r="J442" t="s">
        <v>1486</v>
      </c>
      <c r="K442" t="s">
        <v>1519</v>
      </c>
      <c r="L442" t="s">
        <v>1521</v>
      </c>
      <c r="M442" t="s">
        <v>918</v>
      </c>
      <c r="N442" t="s">
        <v>1532</v>
      </c>
      <c r="O442" t="s">
        <v>1533</v>
      </c>
    </row>
    <row r="443" spans="1:15" x14ac:dyDescent="0.35">
      <c r="A443" t="s">
        <v>2555</v>
      </c>
      <c r="B443" t="s">
        <v>2350</v>
      </c>
      <c r="C443" t="s">
        <v>1519</v>
      </c>
      <c r="D443" t="s">
        <v>932</v>
      </c>
      <c r="E443">
        <v>160</v>
      </c>
      <c r="F443" t="s">
        <v>958</v>
      </c>
      <c r="G443">
        <v>2026</v>
      </c>
      <c r="H443" t="s">
        <v>1519</v>
      </c>
      <c r="I443" t="s">
        <v>1520</v>
      </c>
      <c r="J443" t="s">
        <v>1486</v>
      </c>
      <c r="K443" t="s">
        <v>1519</v>
      </c>
      <c r="L443" t="s">
        <v>1521</v>
      </c>
      <c r="M443" t="s">
        <v>969</v>
      </c>
      <c r="N443" t="s">
        <v>1526</v>
      </c>
      <c r="O443" t="s">
        <v>1529</v>
      </c>
    </row>
    <row r="444" spans="1:15" x14ac:dyDescent="0.35">
      <c r="A444" t="s">
        <v>2556</v>
      </c>
      <c r="B444" t="s">
        <v>2352</v>
      </c>
      <c r="C444" t="s">
        <v>1519</v>
      </c>
      <c r="D444" t="s">
        <v>932</v>
      </c>
      <c r="E444">
        <v>160</v>
      </c>
      <c r="F444" t="s">
        <v>951</v>
      </c>
      <c r="G444">
        <v>2026</v>
      </c>
      <c r="H444" t="s">
        <v>1519</v>
      </c>
      <c r="I444" t="s">
        <v>1520</v>
      </c>
      <c r="J444" t="s">
        <v>1486</v>
      </c>
      <c r="K444" t="s">
        <v>1519</v>
      </c>
      <c r="L444" t="s">
        <v>1521</v>
      </c>
      <c r="M444" t="s">
        <v>969</v>
      </c>
      <c r="N444" t="s">
        <v>1522</v>
      </c>
      <c r="O444" t="s">
        <v>1523</v>
      </c>
    </row>
    <row r="445" spans="1:15" x14ac:dyDescent="0.35">
      <c r="A445" t="s">
        <v>2557</v>
      </c>
      <c r="B445" t="s">
        <v>2354</v>
      </c>
      <c r="C445" t="s">
        <v>1519</v>
      </c>
      <c r="D445" t="s">
        <v>932</v>
      </c>
      <c r="E445">
        <v>160</v>
      </c>
      <c r="F445" t="s">
        <v>942</v>
      </c>
      <c r="G445">
        <v>2026</v>
      </c>
      <c r="H445" t="s">
        <v>1519</v>
      </c>
      <c r="I445" t="s">
        <v>1520</v>
      </c>
      <c r="J445" t="s">
        <v>1486</v>
      </c>
      <c r="K445" t="s">
        <v>1519</v>
      </c>
      <c r="L445" t="s">
        <v>1521</v>
      </c>
      <c r="M445" t="s">
        <v>969</v>
      </c>
      <c r="N445" t="s">
        <v>1532</v>
      </c>
      <c r="O445" t="s">
        <v>1533</v>
      </c>
    </row>
    <row r="446" spans="1:15" x14ac:dyDescent="0.35">
      <c r="A446" t="s">
        <v>1498</v>
      </c>
      <c r="B446" t="s">
        <v>1499</v>
      </c>
      <c r="C446" t="s">
        <v>1500</v>
      </c>
      <c r="D446" t="s">
        <v>932</v>
      </c>
      <c r="E446">
        <v>160</v>
      </c>
      <c r="F446" t="s">
        <v>958</v>
      </c>
      <c r="G446">
        <v>2024</v>
      </c>
      <c r="H446" t="s">
        <v>1500</v>
      </c>
      <c r="I446" t="s">
        <v>1501</v>
      </c>
      <c r="J446" t="s">
        <v>1486</v>
      </c>
      <c r="K446" t="s">
        <v>797</v>
      </c>
      <c r="L446" t="s">
        <v>797</v>
      </c>
      <c r="M446" t="s">
        <v>920</v>
      </c>
      <c r="N446" t="s">
        <v>1487</v>
      </c>
      <c r="O446" t="s">
        <v>922</v>
      </c>
    </row>
    <row r="447" spans="1:15" x14ac:dyDescent="0.35">
      <c r="A447" t="s">
        <v>1502</v>
      </c>
      <c r="B447" t="s">
        <v>1503</v>
      </c>
      <c r="C447" t="s">
        <v>1500</v>
      </c>
      <c r="D447" t="s">
        <v>932</v>
      </c>
      <c r="E447">
        <v>160</v>
      </c>
      <c r="F447" t="s">
        <v>958</v>
      </c>
      <c r="G447">
        <v>2025</v>
      </c>
      <c r="H447" t="s">
        <v>1500</v>
      </c>
      <c r="I447" t="s">
        <v>1501</v>
      </c>
      <c r="J447" t="s">
        <v>1486</v>
      </c>
      <c r="K447" t="s">
        <v>797</v>
      </c>
      <c r="L447" t="s">
        <v>797</v>
      </c>
      <c r="M447" t="s">
        <v>920</v>
      </c>
      <c r="N447" t="s">
        <v>1487</v>
      </c>
      <c r="O447" t="s">
        <v>1504</v>
      </c>
    </row>
    <row r="448" spans="1:15" x14ac:dyDescent="0.35">
      <c r="A448" t="s">
        <v>1505</v>
      </c>
      <c r="B448" t="s">
        <v>1506</v>
      </c>
      <c r="C448" t="s">
        <v>1500</v>
      </c>
      <c r="D448" t="s">
        <v>932</v>
      </c>
      <c r="E448">
        <v>160</v>
      </c>
      <c r="F448" t="s">
        <v>958</v>
      </c>
      <c r="G448">
        <v>2023</v>
      </c>
      <c r="H448" t="s">
        <v>1500</v>
      </c>
      <c r="I448" t="s">
        <v>1501</v>
      </c>
      <c r="J448" t="s">
        <v>1486</v>
      </c>
      <c r="K448" t="s">
        <v>797</v>
      </c>
      <c r="L448" t="s">
        <v>797</v>
      </c>
      <c r="M448" t="s">
        <v>952</v>
      </c>
      <c r="N448" t="s">
        <v>1487</v>
      </c>
      <c r="O448" t="s">
        <v>922</v>
      </c>
    </row>
    <row r="449" spans="1:15" x14ac:dyDescent="0.35">
      <c r="A449" t="s">
        <v>1507</v>
      </c>
      <c r="B449" t="s">
        <v>1508</v>
      </c>
      <c r="C449" t="s">
        <v>1500</v>
      </c>
      <c r="D449" t="s">
        <v>932</v>
      </c>
      <c r="E449">
        <v>160</v>
      </c>
      <c r="F449" t="s">
        <v>958</v>
      </c>
      <c r="G449">
        <v>2023</v>
      </c>
      <c r="H449" t="s">
        <v>1500</v>
      </c>
      <c r="I449" t="s">
        <v>1501</v>
      </c>
      <c r="J449" t="s">
        <v>1486</v>
      </c>
      <c r="K449" t="s">
        <v>797</v>
      </c>
      <c r="L449" t="s">
        <v>797</v>
      </c>
      <c r="M449" t="s">
        <v>969</v>
      </c>
      <c r="N449" t="s">
        <v>1487</v>
      </c>
      <c r="O449" t="s">
        <v>922</v>
      </c>
    </row>
    <row r="450" spans="1:15" x14ac:dyDescent="0.35">
      <c r="A450" t="s">
        <v>336</v>
      </c>
      <c r="B450" t="s">
        <v>1509</v>
      </c>
      <c r="C450" t="s">
        <v>1500</v>
      </c>
      <c r="D450" t="s">
        <v>932</v>
      </c>
      <c r="E450">
        <v>160</v>
      </c>
      <c r="F450" t="s">
        <v>958</v>
      </c>
      <c r="G450">
        <v>2023</v>
      </c>
      <c r="H450" t="s">
        <v>1500</v>
      </c>
      <c r="I450" t="s">
        <v>1501</v>
      </c>
      <c r="J450" t="s">
        <v>1486</v>
      </c>
      <c r="K450" t="s">
        <v>797</v>
      </c>
      <c r="L450" t="s">
        <v>797</v>
      </c>
      <c r="M450" t="s">
        <v>918</v>
      </c>
      <c r="N450" t="s">
        <v>1487</v>
      </c>
      <c r="O450" t="s">
        <v>922</v>
      </c>
    </row>
    <row r="451" spans="1:15" x14ac:dyDescent="0.35">
      <c r="A451" t="s">
        <v>1510</v>
      </c>
      <c r="B451" t="s">
        <v>1511</v>
      </c>
      <c r="C451" t="s">
        <v>1500</v>
      </c>
      <c r="D451" t="s">
        <v>932</v>
      </c>
      <c r="E451">
        <v>160</v>
      </c>
      <c r="F451" t="s">
        <v>958</v>
      </c>
      <c r="G451">
        <v>2024</v>
      </c>
      <c r="H451" t="s">
        <v>1500</v>
      </c>
      <c r="I451" t="s">
        <v>1501</v>
      </c>
      <c r="J451" t="s">
        <v>1486</v>
      </c>
      <c r="K451" t="s">
        <v>797</v>
      </c>
      <c r="L451" t="s">
        <v>797</v>
      </c>
      <c r="M451" t="s">
        <v>952</v>
      </c>
      <c r="N451" t="s">
        <v>1487</v>
      </c>
      <c r="O451" t="s">
        <v>922</v>
      </c>
    </row>
    <row r="452" spans="1:15" x14ac:dyDescent="0.35">
      <c r="A452" t="s">
        <v>1512</v>
      </c>
      <c r="B452" t="s">
        <v>1513</v>
      </c>
      <c r="C452" t="s">
        <v>1500</v>
      </c>
      <c r="D452" t="s">
        <v>932</v>
      </c>
      <c r="E452">
        <v>160</v>
      </c>
      <c r="F452" t="s">
        <v>958</v>
      </c>
      <c r="G452">
        <v>2024</v>
      </c>
      <c r="H452" t="s">
        <v>1500</v>
      </c>
      <c r="I452" t="s">
        <v>1501</v>
      </c>
      <c r="J452" t="s">
        <v>1486</v>
      </c>
      <c r="K452" t="s">
        <v>797</v>
      </c>
      <c r="L452" t="s">
        <v>797</v>
      </c>
      <c r="M452" t="s">
        <v>969</v>
      </c>
      <c r="N452" t="s">
        <v>1487</v>
      </c>
      <c r="O452" t="s">
        <v>922</v>
      </c>
    </row>
    <row r="453" spans="1:15" x14ac:dyDescent="0.35">
      <c r="A453" t="s">
        <v>293</v>
      </c>
      <c r="B453" t="s">
        <v>72</v>
      </c>
      <c r="C453" t="s">
        <v>1500</v>
      </c>
      <c r="D453" t="s">
        <v>932</v>
      </c>
      <c r="E453">
        <v>160</v>
      </c>
      <c r="F453" t="s">
        <v>958</v>
      </c>
      <c r="G453">
        <v>2024</v>
      </c>
      <c r="H453" t="s">
        <v>1500</v>
      </c>
      <c r="I453" t="s">
        <v>1501</v>
      </c>
      <c r="J453" t="s">
        <v>1486</v>
      </c>
      <c r="K453" t="s">
        <v>797</v>
      </c>
      <c r="L453" t="s">
        <v>797</v>
      </c>
      <c r="M453" t="s">
        <v>918</v>
      </c>
      <c r="N453" t="s">
        <v>1487</v>
      </c>
      <c r="O453" t="s">
        <v>922</v>
      </c>
    </row>
    <row r="454" spans="1:15" x14ac:dyDescent="0.35">
      <c r="A454" t="s">
        <v>657</v>
      </c>
      <c r="B454" t="s">
        <v>1514</v>
      </c>
      <c r="C454" t="s">
        <v>1500</v>
      </c>
      <c r="D454" t="s">
        <v>932</v>
      </c>
      <c r="E454">
        <v>160</v>
      </c>
      <c r="F454" t="s">
        <v>958</v>
      </c>
      <c r="G454">
        <v>2025</v>
      </c>
      <c r="H454" t="s">
        <v>1500</v>
      </c>
      <c r="I454" t="s">
        <v>1501</v>
      </c>
      <c r="J454" t="s">
        <v>1486</v>
      </c>
      <c r="K454" t="s">
        <v>797</v>
      </c>
      <c r="L454" t="s">
        <v>797</v>
      </c>
      <c r="M454" t="s">
        <v>952</v>
      </c>
      <c r="N454" t="s">
        <v>1487</v>
      </c>
      <c r="O454" t="s">
        <v>1504</v>
      </c>
    </row>
    <row r="455" spans="1:15" x14ac:dyDescent="0.35">
      <c r="A455" t="s">
        <v>1515</v>
      </c>
      <c r="B455" t="s">
        <v>1516</v>
      </c>
      <c r="C455" t="s">
        <v>1500</v>
      </c>
      <c r="D455" t="s">
        <v>932</v>
      </c>
      <c r="E455">
        <v>160</v>
      </c>
      <c r="F455" t="s">
        <v>958</v>
      </c>
      <c r="G455">
        <v>2025</v>
      </c>
      <c r="H455" t="s">
        <v>1500</v>
      </c>
      <c r="I455" t="s">
        <v>1501</v>
      </c>
      <c r="J455" t="s">
        <v>1486</v>
      </c>
      <c r="K455" t="s">
        <v>797</v>
      </c>
      <c r="L455" t="s">
        <v>797</v>
      </c>
      <c r="M455" t="s">
        <v>969</v>
      </c>
      <c r="N455" t="s">
        <v>1487</v>
      </c>
      <c r="O455" t="s">
        <v>1504</v>
      </c>
    </row>
    <row r="456" spans="1:15" x14ac:dyDescent="0.35">
      <c r="A456" t="s">
        <v>268</v>
      </c>
      <c r="B456" t="s">
        <v>128</v>
      </c>
      <c r="C456" t="s">
        <v>1500</v>
      </c>
      <c r="D456" t="s">
        <v>932</v>
      </c>
      <c r="E456">
        <v>160</v>
      </c>
      <c r="F456" t="s">
        <v>958</v>
      </c>
      <c r="G456">
        <v>2025</v>
      </c>
      <c r="H456" t="s">
        <v>1500</v>
      </c>
      <c r="I456" t="s">
        <v>1501</v>
      </c>
      <c r="J456" t="s">
        <v>1486</v>
      </c>
      <c r="K456" t="s">
        <v>797</v>
      </c>
      <c r="L456" t="s">
        <v>797</v>
      </c>
      <c r="M456" t="s">
        <v>918</v>
      </c>
      <c r="N456" t="s">
        <v>1487</v>
      </c>
      <c r="O456" t="s">
        <v>1504</v>
      </c>
    </row>
    <row r="457" spans="1:15" x14ac:dyDescent="0.35">
      <c r="A457" t="s">
        <v>2265</v>
      </c>
      <c r="B457" t="s">
        <v>2266</v>
      </c>
      <c r="C457" t="s">
        <v>1500</v>
      </c>
      <c r="D457" t="s">
        <v>932</v>
      </c>
      <c r="E457">
        <v>160</v>
      </c>
      <c r="F457" t="s">
        <v>958</v>
      </c>
      <c r="G457">
        <v>2026</v>
      </c>
      <c r="H457" t="s">
        <v>1500</v>
      </c>
      <c r="I457" t="s">
        <v>1501</v>
      </c>
      <c r="J457" t="s">
        <v>2267</v>
      </c>
      <c r="K457" t="s">
        <v>797</v>
      </c>
      <c r="L457" t="s">
        <v>797</v>
      </c>
      <c r="M457" t="s">
        <v>920</v>
      </c>
      <c r="N457" t="s">
        <v>1487</v>
      </c>
      <c r="O457" t="s">
        <v>2268</v>
      </c>
    </row>
    <row r="458" spans="1:15" x14ac:dyDescent="0.35">
      <c r="A458" t="s">
        <v>2269</v>
      </c>
      <c r="B458" t="s">
        <v>2270</v>
      </c>
      <c r="C458" t="s">
        <v>1500</v>
      </c>
      <c r="D458" t="s">
        <v>932</v>
      </c>
      <c r="E458">
        <v>160</v>
      </c>
      <c r="F458" t="s">
        <v>951</v>
      </c>
      <c r="G458">
        <v>2026</v>
      </c>
      <c r="H458" t="s">
        <v>1500</v>
      </c>
      <c r="I458" t="s">
        <v>1501</v>
      </c>
      <c r="J458" t="s">
        <v>2267</v>
      </c>
      <c r="K458" t="s">
        <v>797</v>
      </c>
      <c r="L458" t="s">
        <v>797</v>
      </c>
      <c r="M458" t="s">
        <v>920</v>
      </c>
      <c r="N458" t="s">
        <v>1496</v>
      </c>
      <c r="O458" t="s">
        <v>1497</v>
      </c>
    </row>
    <row r="459" spans="1:15" x14ac:dyDescent="0.35">
      <c r="A459" t="s">
        <v>2383</v>
      </c>
      <c r="B459" t="s">
        <v>2384</v>
      </c>
      <c r="C459" t="s">
        <v>1500</v>
      </c>
      <c r="D459" t="s">
        <v>932</v>
      </c>
      <c r="E459">
        <v>160</v>
      </c>
      <c r="F459" t="s">
        <v>958</v>
      </c>
      <c r="G459">
        <v>2026</v>
      </c>
      <c r="H459" t="s">
        <v>1500</v>
      </c>
      <c r="I459" t="s">
        <v>1501</v>
      </c>
      <c r="J459" t="s">
        <v>2267</v>
      </c>
      <c r="K459" t="s">
        <v>797</v>
      </c>
      <c r="L459" t="s">
        <v>797</v>
      </c>
      <c r="M459" t="s">
        <v>952</v>
      </c>
      <c r="N459" t="s">
        <v>1487</v>
      </c>
      <c r="O459" t="s">
        <v>2268</v>
      </c>
    </row>
    <row r="460" spans="1:15" x14ac:dyDescent="0.35">
      <c r="A460" t="s">
        <v>2385</v>
      </c>
      <c r="B460" t="s">
        <v>2386</v>
      </c>
      <c r="C460" t="s">
        <v>1500</v>
      </c>
      <c r="D460" t="s">
        <v>932</v>
      </c>
      <c r="E460">
        <v>160</v>
      </c>
      <c r="F460" t="s">
        <v>951</v>
      </c>
      <c r="G460">
        <v>2026</v>
      </c>
      <c r="H460" t="s">
        <v>1500</v>
      </c>
      <c r="I460" t="s">
        <v>1501</v>
      </c>
      <c r="J460" t="s">
        <v>2267</v>
      </c>
      <c r="K460" t="s">
        <v>797</v>
      </c>
      <c r="L460" t="s">
        <v>797</v>
      </c>
      <c r="M460" t="s">
        <v>952</v>
      </c>
      <c r="N460" t="s">
        <v>1496</v>
      </c>
      <c r="O460" t="s">
        <v>1497</v>
      </c>
    </row>
    <row r="461" spans="1:15" x14ac:dyDescent="0.35">
      <c r="A461" t="s">
        <v>363</v>
      </c>
      <c r="B461" t="s">
        <v>2384</v>
      </c>
      <c r="C461" t="s">
        <v>1500</v>
      </c>
      <c r="D461" t="s">
        <v>932</v>
      </c>
      <c r="E461">
        <v>160</v>
      </c>
      <c r="F461" t="s">
        <v>958</v>
      </c>
      <c r="G461">
        <v>2026</v>
      </c>
      <c r="H461" t="s">
        <v>1500</v>
      </c>
      <c r="I461" t="s">
        <v>1501</v>
      </c>
      <c r="J461" t="s">
        <v>2267</v>
      </c>
      <c r="K461" t="s">
        <v>797</v>
      </c>
      <c r="L461" t="s">
        <v>797</v>
      </c>
      <c r="M461" t="s">
        <v>918</v>
      </c>
      <c r="N461" t="s">
        <v>1487</v>
      </c>
      <c r="O461" t="s">
        <v>2268</v>
      </c>
    </row>
    <row r="462" spans="1:15" x14ac:dyDescent="0.35">
      <c r="A462" t="s">
        <v>2418</v>
      </c>
      <c r="B462" t="s">
        <v>2386</v>
      </c>
      <c r="C462" t="s">
        <v>1500</v>
      </c>
      <c r="D462" t="s">
        <v>932</v>
      </c>
      <c r="E462">
        <v>160</v>
      </c>
      <c r="F462" t="s">
        <v>951</v>
      </c>
      <c r="G462">
        <v>2026</v>
      </c>
      <c r="H462" t="s">
        <v>1500</v>
      </c>
      <c r="I462" t="s">
        <v>1501</v>
      </c>
      <c r="J462" t="s">
        <v>2267</v>
      </c>
      <c r="K462" t="s">
        <v>797</v>
      </c>
      <c r="L462" t="s">
        <v>797</v>
      </c>
      <c r="M462" t="s">
        <v>918</v>
      </c>
      <c r="N462" t="s">
        <v>1496</v>
      </c>
      <c r="O462" t="s">
        <v>1497</v>
      </c>
    </row>
    <row r="463" spans="1:15" x14ac:dyDescent="0.35">
      <c r="A463" t="s">
        <v>2458</v>
      </c>
      <c r="B463" t="s">
        <v>2384</v>
      </c>
      <c r="C463" t="s">
        <v>1500</v>
      </c>
      <c r="D463" t="s">
        <v>932</v>
      </c>
      <c r="E463">
        <v>160</v>
      </c>
      <c r="F463" t="s">
        <v>958</v>
      </c>
      <c r="G463">
        <v>2026</v>
      </c>
      <c r="H463" t="s">
        <v>1500</v>
      </c>
      <c r="I463" t="s">
        <v>1501</v>
      </c>
      <c r="J463" t="s">
        <v>2267</v>
      </c>
      <c r="K463" t="s">
        <v>797</v>
      </c>
      <c r="L463" t="s">
        <v>797</v>
      </c>
      <c r="M463" t="s">
        <v>969</v>
      </c>
      <c r="N463" t="s">
        <v>1487</v>
      </c>
      <c r="O463" t="s">
        <v>2268</v>
      </c>
    </row>
    <row r="464" spans="1:15" x14ac:dyDescent="0.35">
      <c r="A464" t="s">
        <v>2459</v>
      </c>
      <c r="B464" t="s">
        <v>2386</v>
      </c>
      <c r="C464" t="s">
        <v>1500</v>
      </c>
      <c r="D464" t="s">
        <v>932</v>
      </c>
      <c r="E464">
        <v>160</v>
      </c>
      <c r="F464" t="s">
        <v>951</v>
      </c>
      <c r="G464">
        <v>2026</v>
      </c>
      <c r="H464" t="s">
        <v>1500</v>
      </c>
      <c r="I464" t="s">
        <v>1501</v>
      </c>
      <c r="J464" t="s">
        <v>2267</v>
      </c>
      <c r="K464" t="s">
        <v>797</v>
      </c>
      <c r="L464" t="s">
        <v>797</v>
      </c>
      <c r="M464" t="s">
        <v>969</v>
      </c>
      <c r="N464" t="s">
        <v>1496</v>
      </c>
      <c r="O464" t="s">
        <v>1497</v>
      </c>
    </row>
    <row r="465" spans="1:15" x14ac:dyDescent="0.35">
      <c r="A465" t="s">
        <v>2271</v>
      </c>
      <c r="B465" t="s">
        <v>2272</v>
      </c>
      <c r="C465" t="s">
        <v>2273</v>
      </c>
      <c r="D465" t="s">
        <v>932</v>
      </c>
      <c r="E465">
        <v>160</v>
      </c>
      <c r="F465" t="s">
        <v>958</v>
      </c>
      <c r="G465">
        <v>2026</v>
      </c>
      <c r="H465" t="s">
        <v>2273</v>
      </c>
      <c r="I465" t="s">
        <v>2274</v>
      </c>
      <c r="J465" t="s">
        <v>2267</v>
      </c>
      <c r="K465" t="s">
        <v>2273</v>
      </c>
      <c r="L465" t="s">
        <v>797</v>
      </c>
      <c r="M465" t="s">
        <v>920</v>
      </c>
      <c r="N465" t="s">
        <v>2275</v>
      </c>
      <c r="O465" t="s">
        <v>2276</v>
      </c>
    </row>
    <row r="466" spans="1:15" x14ac:dyDescent="0.35">
      <c r="A466" t="s">
        <v>2277</v>
      </c>
      <c r="B466" t="s">
        <v>2278</v>
      </c>
      <c r="C466" t="s">
        <v>2273</v>
      </c>
      <c r="D466" t="s">
        <v>932</v>
      </c>
      <c r="E466">
        <v>160</v>
      </c>
      <c r="F466" t="s">
        <v>942</v>
      </c>
      <c r="G466">
        <v>2026</v>
      </c>
      <c r="H466" t="s">
        <v>2273</v>
      </c>
      <c r="I466" t="s">
        <v>2274</v>
      </c>
      <c r="J466" t="s">
        <v>2267</v>
      </c>
      <c r="K466" t="s">
        <v>2273</v>
      </c>
      <c r="L466" t="s">
        <v>797</v>
      </c>
      <c r="M466" t="s">
        <v>920</v>
      </c>
      <c r="N466" t="s">
        <v>2279</v>
      </c>
      <c r="O466" t="s">
        <v>2280</v>
      </c>
    </row>
    <row r="467" spans="1:15" x14ac:dyDescent="0.35">
      <c r="A467" t="s">
        <v>2281</v>
      </c>
      <c r="B467" t="s">
        <v>2282</v>
      </c>
      <c r="C467" t="s">
        <v>2273</v>
      </c>
      <c r="D467" t="s">
        <v>932</v>
      </c>
      <c r="E467">
        <v>160</v>
      </c>
      <c r="F467" t="s">
        <v>1006</v>
      </c>
      <c r="G467">
        <v>2026</v>
      </c>
      <c r="H467" t="s">
        <v>2273</v>
      </c>
      <c r="I467" t="s">
        <v>2274</v>
      </c>
      <c r="J467" t="s">
        <v>2267</v>
      </c>
      <c r="K467" t="s">
        <v>2273</v>
      </c>
      <c r="L467" t="s">
        <v>797</v>
      </c>
      <c r="M467" t="s">
        <v>920</v>
      </c>
      <c r="N467" t="s">
        <v>2283</v>
      </c>
      <c r="O467" t="s">
        <v>2284</v>
      </c>
    </row>
    <row r="468" spans="1:15" x14ac:dyDescent="0.35">
      <c r="A468" t="s">
        <v>2285</v>
      </c>
      <c r="B468" t="s">
        <v>2286</v>
      </c>
      <c r="C468" t="s">
        <v>2273</v>
      </c>
      <c r="D468" t="s">
        <v>932</v>
      </c>
      <c r="E468">
        <v>160</v>
      </c>
      <c r="F468" t="s">
        <v>951</v>
      </c>
      <c r="G468">
        <v>2026</v>
      </c>
      <c r="H468" t="s">
        <v>2273</v>
      </c>
      <c r="I468" t="s">
        <v>2274</v>
      </c>
      <c r="J468" t="s">
        <v>2267</v>
      </c>
      <c r="K468" t="s">
        <v>2273</v>
      </c>
      <c r="L468" t="s">
        <v>797</v>
      </c>
      <c r="M468" t="s">
        <v>920</v>
      </c>
      <c r="N468" t="s">
        <v>2287</v>
      </c>
      <c r="O468" t="s">
        <v>2288</v>
      </c>
    </row>
    <row r="469" spans="1:15" x14ac:dyDescent="0.35">
      <c r="A469" t="s">
        <v>2387</v>
      </c>
      <c r="B469" t="s">
        <v>2388</v>
      </c>
      <c r="C469" t="s">
        <v>2273</v>
      </c>
      <c r="D469" t="s">
        <v>932</v>
      </c>
      <c r="E469">
        <v>160</v>
      </c>
      <c r="F469" t="s">
        <v>958</v>
      </c>
      <c r="G469">
        <v>2026</v>
      </c>
      <c r="H469" t="s">
        <v>2273</v>
      </c>
      <c r="I469" t="s">
        <v>2274</v>
      </c>
      <c r="J469" t="s">
        <v>2267</v>
      </c>
      <c r="K469" t="s">
        <v>2273</v>
      </c>
      <c r="L469" t="s">
        <v>797</v>
      </c>
      <c r="M469" t="s">
        <v>952</v>
      </c>
      <c r="N469" t="s">
        <v>2275</v>
      </c>
      <c r="O469" t="s">
        <v>2276</v>
      </c>
    </row>
    <row r="470" spans="1:15" x14ac:dyDescent="0.35">
      <c r="A470" t="s">
        <v>2389</v>
      </c>
      <c r="B470" t="s">
        <v>2390</v>
      </c>
      <c r="C470" t="s">
        <v>2273</v>
      </c>
      <c r="D470" t="s">
        <v>932</v>
      </c>
      <c r="E470">
        <v>160</v>
      </c>
      <c r="F470" t="s">
        <v>942</v>
      </c>
      <c r="G470">
        <v>2026</v>
      </c>
      <c r="H470" t="s">
        <v>2273</v>
      </c>
      <c r="I470" t="s">
        <v>2274</v>
      </c>
      <c r="J470" t="s">
        <v>2267</v>
      </c>
      <c r="K470" t="s">
        <v>2273</v>
      </c>
      <c r="L470" t="s">
        <v>797</v>
      </c>
      <c r="M470" t="s">
        <v>952</v>
      </c>
      <c r="N470" t="s">
        <v>2279</v>
      </c>
      <c r="O470" t="s">
        <v>2280</v>
      </c>
    </row>
    <row r="471" spans="1:15" x14ac:dyDescent="0.35">
      <c r="A471" t="s">
        <v>2391</v>
      </c>
      <c r="B471" t="s">
        <v>2392</v>
      </c>
      <c r="C471" t="s">
        <v>2273</v>
      </c>
      <c r="D471" t="s">
        <v>932</v>
      </c>
      <c r="E471">
        <v>160</v>
      </c>
      <c r="F471" t="s">
        <v>1006</v>
      </c>
      <c r="G471">
        <v>2026</v>
      </c>
      <c r="H471" t="s">
        <v>2273</v>
      </c>
      <c r="I471" t="s">
        <v>2274</v>
      </c>
      <c r="J471" t="s">
        <v>2267</v>
      </c>
      <c r="K471" t="s">
        <v>2273</v>
      </c>
      <c r="L471" t="s">
        <v>797</v>
      </c>
      <c r="M471" t="s">
        <v>952</v>
      </c>
      <c r="N471" t="s">
        <v>2283</v>
      </c>
      <c r="O471" t="s">
        <v>2284</v>
      </c>
    </row>
    <row r="472" spans="1:15" x14ac:dyDescent="0.35">
      <c r="A472" t="s">
        <v>2393</v>
      </c>
      <c r="B472" t="s">
        <v>2394</v>
      </c>
      <c r="C472" t="s">
        <v>2273</v>
      </c>
      <c r="D472" t="s">
        <v>932</v>
      </c>
      <c r="E472">
        <v>160</v>
      </c>
      <c r="F472" t="s">
        <v>951</v>
      </c>
      <c r="G472">
        <v>2026</v>
      </c>
      <c r="H472" t="s">
        <v>2273</v>
      </c>
      <c r="I472" t="s">
        <v>2274</v>
      </c>
      <c r="J472" t="s">
        <v>2267</v>
      </c>
      <c r="K472" t="s">
        <v>2273</v>
      </c>
      <c r="L472" t="s">
        <v>797</v>
      </c>
      <c r="M472" t="s">
        <v>952</v>
      </c>
      <c r="N472" t="s">
        <v>2287</v>
      </c>
      <c r="O472" t="s">
        <v>2288</v>
      </c>
    </row>
    <row r="473" spans="1:15" x14ac:dyDescent="0.35">
      <c r="A473" t="s">
        <v>2419</v>
      </c>
      <c r="B473" t="s">
        <v>2388</v>
      </c>
      <c r="C473" t="s">
        <v>2273</v>
      </c>
      <c r="D473" t="s">
        <v>932</v>
      </c>
      <c r="E473">
        <v>160</v>
      </c>
      <c r="F473" t="s">
        <v>958</v>
      </c>
      <c r="G473">
        <v>2026</v>
      </c>
      <c r="H473" t="s">
        <v>2273</v>
      </c>
      <c r="I473" t="s">
        <v>2274</v>
      </c>
      <c r="J473" t="s">
        <v>2267</v>
      </c>
      <c r="K473" t="s">
        <v>2273</v>
      </c>
      <c r="L473" t="s">
        <v>797</v>
      </c>
      <c r="M473" t="s">
        <v>918</v>
      </c>
      <c r="N473" t="s">
        <v>2275</v>
      </c>
      <c r="O473" t="s">
        <v>2276</v>
      </c>
    </row>
    <row r="474" spans="1:15" x14ac:dyDescent="0.35">
      <c r="A474" t="s">
        <v>2420</v>
      </c>
      <c r="B474" t="s">
        <v>2390</v>
      </c>
      <c r="C474" t="s">
        <v>2273</v>
      </c>
      <c r="D474" t="s">
        <v>932</v>
      </c>
      <c r="E474">
        <v>160</v>
      </c>
      <c r="F474" t="s">
        <v>942</v>
      </c>
      <c r="G474">
        <v>2026</v>
      </c>
      <c r="H474" t="s">
        <v>2273</v>
      </c>
      <c r="I474" t="s">
        <v>2274</v>
      </c>
      <c r="J474" t="s">
        <v>2267</v>
      </c>
      <c r="K474" t="s">
        <v>2273</v>
      </c>
      <c r="L474" t="s">
        <v>797</v>
      </c>
      <c r="M474" t="s">
        <v>918</v>
      </c>
      <c r="N474" t="s">
        <v>2279</v>
      </c>
      <c r="O474" t="s">
        <v>2280</v>
      </c>
    </row>
    <row r="475" spans="1:15" x14ac:dyDescent="0.35">
      <c r="A475" t="s">
        <v>2421</v>
      </c>
      <c r="B475" t="s">
        <v>2392</v>
      </c>
      <c r="C475" t="s">
        <v>2273</v>
      </c>
      <c r="D475" t="s">
        <v>932</v>
      </c>
      <c r="E475">
        <v>160</v>
      </c>
      <c r="F475" t="s">
        <v>1006</v>
      </c>
      <c r="G475">
        <v>2026</v>
      </c>
      <c r="H475" t="s">
        <v>2273</v>
      </c>
      <c r="I475" t="s">
        <v>2274</v>
      </c>
      <c r="J475" t="s">
        <v>2267</v>
      </c>
      <c r="K475" t="s">
        <v>2273</v>
      </c>
      <c r="L475" t="s">
        <v>797</v>
      </c>
      <c r="M475" t="s">
        <v>918</v>
      </c>
      <c r="N475" t="s">
        <v>2283</v>
      </c>
      <c r="O475" t="s">
        <v>2284</v>
      </c>
    </row>
    <row r="476" spans="1:15" x14ac:dyDescent="0.35">
      <c r="A476" t="s">
        <v>2422</v>
      </c>
      <c r="B476" t="s">
        <v>2394</v>
      </c>
      <c r="C476" t="s">
        <v>2273</v>
      </c>
      <c r="D476" t="s">
        <v>932</v>
      </c>
      <c r="E476">
        <v>160</v>
      </c>
      <c r="F476" t="s">
        <v>951</v>
      </c>
      <c r="G476">
        <v>2026</v>
      </c>
      <c r="H476" t="s">
        <v>2273</v>
      </c>
      <c r="I476" t="s">
        <v>2274</v>
      </c>
      <c r="J476" t="s">
        <v>2267</v>
      </c>
      <c r="K476" t="s">
        <v>2273</v>
      </c>
      <c r="L476" t="s">
        <v>797</v>
      </c>
      <c r="M476" t="s">
        <v>918</v>
      </c>
      <c r="N476" t="s">
        <v>2287</v>
      </c>
      <c r="O476" t="s">
        <v>2288</v>
      </c>
    </row>
    <row r="477" spans="1:15" x14ac:dyDescent="0.35">
      <c r="A477" t="s">
        <v>2460</v>
      </c>
      <c r="B477" t="s">
        <v>2388</v>
      </c>
      <c r="C477" t="s">
        <v>2273</v>
      </c>
      <c r="D477" t="s">
        <v>932</v>
      </c>
      <c r="E477">
        <v>160</v>
      </c>
      <c r="F477" t="s">
        <v>958</v>
      </c>
      <c r="G477">
        <v>2026</v>
      </c>
      <c r="H477" t="s">
        <v>2273</v>
      </c>
      <c r="I477" t="s">
        <v>2274</v>
      </c>
      <c r="J477" t="s">
        <v>2267</v>
      </c>
      <c r="K477" t="s">
        <v>2273</v>
      </c>
      <c r="L477" t="s">
        <v>797</v>
      </c>
      <c r="M477" t="s">
        <v>969</v>
      </c>
      <c r="N477" t="s">
        <v>2275</v>
      </c>
      <c r="O477" t="s">
        <v>2276</v>
      </c>
    </row>
    <row r="478" spans="1:15" x14ac:dyDescent="0.35">
      <c r="A478" t="s">
        <v>2461</v>
      </c>
      <c r="B478" t="s">
        <v>2390</v>
      </c>
      <c r="C478" t="s">
        <v>2273</v>
      </c>
      <c r="D478" t="s">
        <v>932</v>
      </c>
      <c r="E478">
        <v>160</v>
      </c>
      <c r="F478" t="s">
        <v>942</v>
      </c>
      <c r="G478">
        <v>2026</v>
      </c>
      <c r="H478" t="s">
        <v>2273</v>
      </c>
      <c r="I478" t="s">
        <v>2274</v>
      </c>
      <c r="J478" t="s">
        <v>2267</v>
      </c>
      <c r="K478" t="s">
        <v>2273</v>
      </c>
      <c r="L478" t="s">
        <v>797</v>
      </c>
      <c r="M478" t="s">
        <v>969</v>
      </c>
      <c r="N478" t="s">
        <v>2279</v>
      </c>
      <c r="O478" t="s">
        <v>2280</v>
      </c>
    </row>
    <row r="479" spans="1:15" x14ac:dyDescent="0.35">
      <c r="A479" t="s">
        <v>2462</v>
      </c>
      <c r="B479" t="s">
        <v>2392</v>
      </c>
      <c r="C479" t="s">
        <v>2273</v>
      </c>
      <c r="D479" t="s">
        <v>932</v>
      </c>
      <c r="E479">
        <v>160</v>
      </c>
      <c r="F479" t="s">
        <v>1006</v>
      </c>
      <c r="G479">
        <v>2026</v>
      </c>
      <c r="H479" t="s">
        <v>2273</v>
      </c>
      <c r="I479" t="s">
        <v>2274</v>
      </c>
      <c r="J479" t="s">
        <v>2267</v>
      </c>
      <c r="K479" t="s">
        <v>2273</v>
      </c>
      <c r="L479" t="s">
        <v>797</v>
      </c>
      <c r="M479" t="s">
        <v>969</v>
      </c>
      <c r="N479" t="s">
        <v>2283</v>
      </c>
      <c r="O479" t="s">
        <v>2284</v>
      </c>
    </row>
    <row r="480" spans="1:15" x14ac:dyDescent="0.35">
      <c r="A480" t="s">
        <v>2463</v>
      </c>
      <c r="B480" t="s">
        <v>2394</v>
      </c>
      <c r="C480" t="s">
        <v>2273</v>
      </c>
      <c r="D480" t="s">
        <v>932</v>
      </c>
      <c r="E480">
        <v>160</v>
      </c>
      <c r="F480" t="s">
        <v>951</v>
      </c>
      <c r="G480">
        <v>2026</v>
      </c>
      <c r="H480" t="s">
        <v>2273</v>
      </c>
      <c r="I480" t="s">
        <v>2274</v>
      </c>
      <c r="J480" t="s">
        <v>2267</v>
      </c>
      <c r="K480" t="s">
        <v>2273</v>
      </c>
      <c r="L480" t="s">
        <v>797</v>
      </c>
      <c r="M480" t="s">
        <v>969</v>
      </c>
      <c r="N480" t="s">
        <v>2287</v>
      </c>
      <c r="O480" t="s">
        <v>2288</v>
      </c>
    </row>
    <row r="481" spans="1:15" x14ac:dyDescent="0.35">
      <c r="A481" t="s">
        <v>1483</v>
      </c>
      <c r="B481" t="s">
        <v>1484</v>
      </c>
      <c r="C481" t="s">
        <v>797</v>
      </c>
      <c r="D481" t="s">
        <v>932</v>
      </c>
      <c r="E481">
        <v>160</v>
      </c>
      <c r="F481" t="s">
        <v>958</v>
      </c>
      <c r="G481">
        <v>2025</v>
      </c>
      <c r="H481" t="s">
        <v>797</v>
      </c>
      <c r="I481" t="s">
        <v>1485</v>
      </c>
      <c r="J481" t="s">
        <v>1486</v>
      </c>
      <c r="K481" t="s">
        <v>797</v>
      </c>
      <c r="L481" t="s">
        <v>797</v>
      </c>
      <c r="M481" t="s">
        <v>920</v>
      </c>
      <c r="N481" t="s">
        <v>1487</v>
      </c>
      <c r="O481" t="s">
        <v>1488</v>
      </c>
    </row>
    <row r="482" spans="1:15" x14ac:dyDescent="0.35">
      <c r="A482" t="s">
        <v>1489</v>
      </c>
      <c r="B482" t="s">
        <v>1490</v>
      </c>
      <c r="C482" t="s">
        <v>797</v>
      </c>
      <c r="D482" t="s">
        <v>932</v>
      </c>
      <c r="E482">
        <v>160</v>
      </c>
      <c r="F482" t="s">
        <v>958</v>
      </c>
      <c r="G482">
        <v>2025</v>
      </c>
      <c r="H482" t="s">
        <v>797</v>
      </c>
      <c r="I482" t="s">
        <v>1485</v>
      </c>
      <c r="J482" t="s">
        <v>1486</v>
      </c>
      <c r="K482" t="s">
        <v>797</v>
      </c>
      <c r="L482" t="s">
        <v>797</v>
      </c>
      <c r="M482" t="s">
        <v>952</v>
      </c>
      <c r="N482" t="s">
        <v>1487</v>
      </c>
      <c r="O482" t="s">
        <v>1488</v>
      </c>
    </row>
    <row r="483" spans="1:15" x14ac:dyDescent="0.35">
      <c r="A483" t="s">
        <v>358</v>
      </c>
      <c r="B483" t="s">
        <v>1491</v>
      </c>
      <c r="C483" t="s">
        <v>797</v>
      </c>
      <c r="D483" t="s">
        <v>932</v>
      </c>
      <c r="E483">
        <v>160</v>
      </c>
      <c r="F483" t="s">
        <v>958</v>
      </c>
      <c r="G483">
        <v>2025</v>
      </c>
      <c r="H483" t="s">
        <v>797</v>
      </c>
      <c r="I483" t="s">
        <v>1485</v>
      </c>
      <c r="J483" t="s">
        <v>1486</v>
      </c>
      <c r="K483" t="s">
        <v>797</v>
      </c>
      <c r="L483" t="s">
        <v>797</v>
      </c>
      <c r="M483" t="s">
        <v>918</v>
      </c>
      <c r="N483" t="s">
        <v>1487</v>
      </c>
      <c r="O483" t="s">
        <v>1488</v>
      </c>
    </row>
    <row r="484" spans="1:15" x14ac:dyDescent="0.35">
      <c r="A484" t="s">
        <v>1492</v>
      </c>
      <c r="B484" t="s">
        <v>1493</v>
      </c>
      <c r="C484" t="s">
        <v>797</v>
      </c>
      <c r="D484" t="s">
        <v>932</v>
      </c>
      <c r="E484">
        <v>160</v>
      </c>
      <c r="F484" t="s">
        <v>958</v>
      </c>
      <c r="G484">
        <v>2025</v>
      </c>
      <c r="H484" t="s">
        <v>797</v>
      </c>
      <c r="I484" t="s">
        <v>1485</v>
      </c>
      <c r="J484" t="s">
        <v>1486</v>
      </c>
      <c r="K484" t="s">
        <v>797</v>
      </c>
      <c r="L484" t="s">
        <v>797</v>
      </c>
      <c r="M484" t="s">
        <v>969</v>
      </c>
      <c r="N484" t="s">
        <v>1487</v>
      </c>
      <c r="O484" t="s">
        <v>1488</v>
      </c>
    </row>
    <row r="485" spans="1:15" x14ac:dyDescent="0.35">
      <c r="A485" t="s">
        <v>1494</v>
      </c>
      <c r="B485" t="s">
        <v>1495</v>
      </c>
      <c r="C485" t="s">
        <v>797</v>
      </c>
      <c r="D485" t="s">
        <v>932</v>
      </c>
      <c r="E485">
        <v>160</v>
      </c>
      <c r="F485" t="s">
        <v>951</v>
      </c>
      <c r="G485">
        <v>2025</v>
      </c>
      <c r="H485" t="s">
        <v>797</v>
      </c>
      <c r="I485" t="s">
        <v>1485</v>
      </c>
      <c r="J485" t="s">
        <v>1486</v>
      </c>
      <c r="K485" t="s">
        <v>797</v>
      </c>
      <c r="L485" t="s">
        <v>797</v>
      </c>
      <c r="M485" t="s">
        <v>920</v>
      </c>
      <c r="N485" t="s">
        <v>1496</v>
      </c>
      <c r="O485" t="s">
        <v>1497</v>
      </c>
    </row>
    <row r="486" spans="1:15" x14ac:dyDescent="0.35">
      <c r="A486" t="s">
        <v>2186</v>
      </c>
      <c r="B486" t="s">
        <v>2187</v>
      </c>
      <c r="C486" t="s">
        <v>797</v>
      </c>
      <c r="D486" t="s">
        <v>932</v>
      </c>
      <c r="E486">
        <v>160</v>
      </c>
      <c r="F486" t="s">
        <v>951</v>
      </c>
      <c r="G486">
        <v>2025</v>
      </c>
      <c r="H486" t="s">
        <v>797</v>
      </c>
      <c r="I486" t="s">
        <v>1485</v>
      </c>
      <c r="J486" t="s">
        <v>1486</v>
      </c>
      <c r="K486" t="s">
        <v>797</v>
      </c>
      <c r="L486" t="s">
        <v>797</v>
      </c>
      <c r="M486" t="s">
        <v>952</v>
      </c>
      <c r="N486" t="s">
        <v>1496</v>
      </c>
      <c r="O486" t="s">
        <v>1497</v>
      </c>
    </row>
    <row r="487" spans="1:15" x14ac:dyDescent="0.35">
      <c r="A487" t="s">
        <v>2188</v>
      </c>
      <c r="B487" t="s">
        <v>2189</v>
      </c>
      <c r="C487" t="s">
        <v>797</v>
      </c>
      <c r="D487" t="s">
        <v>932</v>
      </c>
      <c r="E487">
        <v>160</v>
      </c>
      <c r="F487" t="s">
        <v>951</v>
      </c>
      <c r="G487">
        <v>2025</v>
      </c>
      <c r="H487" t="s">
        <v>797</v>
      </c>
      <c r="I487" t="s">
        <v>1485</v>
      </c>
      <c r="J487" t="s">
        <v>1486</v>
      </c>
      <c r="K487" t="s">
        <v>797</v>
      </c>
      <c r="L487" t="s">
        <v>797</v>
      </c>
      <c r="M487" t="s">
        <v>918</v>
      </c>
      <c r="N487" t="s">
        <v>1496</v>
      </c>
      <c r="O487" t="s">
        <v>1497</v>
      </c>
    </row>
    <row r="488" spans="1:15" x14ac:dyDescent="0.35">
      <c r="A488" t="s">
        <v>2190</v>
      </c>
      <c r="B488" t="s">
        <v>2191</v>
      </c>
      <c r="C488" t="s">
        <v>797</v>
      </c>
      <c r="D488" t="s">
        <v>932</v>
      </c>
      <c r="E488">
        <v>160</v>
      </c>
      <c r="F488" t="s">
        <v>951</v>
      </c>
      <c r="G488">
        <v>2025</v>
      </c>
      <c r="H488" t="s">
        <v>797</v>
      </c>
      <c r="I488" t="s">
        <v>1485</v>
      </c>
      <c r="J488" t="s">
        <v>1486</v>
      </c>
      <c r="K488" t="s">
        <v>797</v>
      </c>
      <c r="L488" t="s">
        <v>797</v>
      </c>
      <c r="M488" t="s">
        <v>969</v>
      </c>
      <c r="N488" t="s">
        <v>1496</v>
      </c>
      <c r="O488" t="s">
        <v>1497</v>
      </c>
    </row>
    <row r="489" spans="1:15" x14ac:dyDescent="0.35">
      <c r="A489" t="s">
        <v>1455</v>
      </c>
      <c r="B489" t="s">
        <v>1456</v>
      </c>
      <c r="C489" t="s">
        <v>1457</v>
      </c>
      <c r="D489" t="s">
        <v>932</v>
      </c>
      <c r="E489">
        <v>250</v>
      </c>
      <c r="F489" t="s">
        <v>1458</v>
      </c>
      <c r="G489">
        <v>2025</v>
      </c>
      <c r="H489" t="s">
        <v>1457</v>
      </c>
      <c r="I489" t="s">
        <v>1459</v>
      </c>
      <c r="J489" t="s">
        <v>1394</v>
      </c>
      <c r="K489" t="s">
        <v>1457</v>
      </c>
      <c r="L489" t="s">
        <v>1460</v>
      </c>
      <c r="M489" t="s">
        <v>920</v>
      </c>
      <c r="N489" t="s">
        <v>1461</v>
      </c>
      <c r="O489" t="s">
        <v>1462</v>
      </c>
    </row>
    <row r="490" spans="1:15" x14ac:dyDescent="0.35">
      <c r="A490" t="s">
        <v>1463</v>
      </c>
      <c r="B490" t="s">
        <v>1464</v>
      </c>
      <c r="C490" t="s">
        <v>1457</v>
      </c>
      <c r="D490" t="s">
        <v>932</v>
      </c>
      <c r="E490">
        <v>250</v>
      </c>
      <c r="F490" t="s">
        <v>951</v>
      </c>
      <c r="G490">
        <v>2025</v>
      </c>
      <c r="H490" t="s">
        <v>1457</v>
      </c>
      <c r="I490" t="s">
        <v>1459</v>
      </c>
      <c r="J490" t="s">
        <v>1394</v>
      </c>
      <c r="K490" t="s">
        <v>1457</v>
      </c>
      <c r="L490" t="s">
        <v>1460</v>
      </c>
      <c r="M490" t="s">
        <v>920</v>
      </c>
      <c r="N490" t="s">
        <v>1465</v>
      </c>
      <c r="O490" t="s">
        <v>1466</v>
      </c>
    </row>
    <row r="491" spans="1:15" x14ac:dyDescent="0.35">
      <c r="A491" t="s">
        <v>1467</v>
      </c>
      <c r="B491" t="s">
        <v>1468</v>
      </c>
      <c r="C491" t="s">
        <v>1457</v>
      </c>
      <c r="D491" t="s">
        <v>932</v>
      </c>
      <c r="E491">
        <v>250</v>
      </c>
      <c r="F491" t="s">
        <v>958</v>
      </c>
      <c r="G491">
        <v>2025</v>
      </c>
      <c r="H491" t="s">
        <v>1457</v>
      </c>
      <c r="I491" t="s">
        <v>1459</v>
      </c>
      <c r="J491" t="s">
        <v>1394</v>
      </c>
      <c r="K491" t="s">
        <v>1457</v>
      </c>
      <c r="L491" t="s">
        <v>1460</v>
      </c>
      <c r="M491" t="s">
        <v>920</v>
      </c>
      <c r="N491" t="s">
        <v>1469</v>
      </c>
      <c r="O491" t="s">
        <v>1470</v>
      </c>
    </row>
    <row r="492" spans="1:15" x14ac:dyDescent="0.35">
      <c r="A492" t="s">
        <v>659</v>
      </c>
      <c r="B492" t="s">
        <v>1471</v>
      </c>
      <c r="C492" t="s">
        <v>1457</v>
      </c>
      <c r="D492" t="s">
        <v>932</v>
      </c>
      <c r="E492">
        <v>250</v>
      </c>
      <c r="F492" t="s">
        <v>1458</v>
      </c>
      <c r="G492">
        <v>2025</v>
      </c>
      <c r="H492" t="s">
        <v>1457</v>
      </c>
      <c r="I492" t="s">
        <v>1459</v>
      </c>
      <c r="J492" t="s">
        <v>1394</v>
      </c>
      <c r="K492" t="s">
        <v>1457</v>
      </c>
      <c r="L492" t="s">
        <v>1460</v>
      </c>
      <c r="M492" t="s">
        <v>952</v>
      </c>
      <c r="N492" t="s">
        <v>1461</v>
      </c>
      <c r="O492" t="s">
        <v>1462</v>
      </c>
    </row>
    <row r="493" spans="1:15" x14ac:dyDescent="0.35">
      <c r="A493" t="s">
        <v>1472</v>
      </c>
      <c r="B493" t="s">
        <v>1473</v>
      </c>
      <c r="C493" t="s">
        <v>1457</v>
      </c>
      <c r="D493" t="s">
        <v>932</v>
      </c>
      <c r="E493">
        <v>250</v>
      </c>
      <c r="F493" t="s">
        <v>1458</v>
      </c>
      <c r="G493">
        <v>2025</v>
      </c>
      <c r="H493" t="s">
        <v>1457</v>
      </c>
      <c r="I493" t="s">
        <v>1459</v>
      </c>
      <c r="J493" t="s">
        <v>1394</v>
      </c>
      <c r="K493" t="s">
        <v>1457</v>
      </c>
      <c r="L493" t="s">
        <v>1460</v>
      </c>
      <c r="M493" t="s">
        <v>969</v>
      </c>
      <c r="N493" t="s">
        <v>1461</v>
      </c>
      <c r="O493" t="s">
        <v>1462</v>
      </c>
    </row>
    <row r="494" spans="1:15" x14ac:dyDescent="0.35">
      <c r="A494" t="s">
        <v>276</v>
      </c>
      <c r="B494" t="s">
        <v>1474</v>
      </c>
      <c r="C494" t="s">
        <v>1457</v>
      </c>
      <c r="D494" t="s">
        <v>932</v>
      </c>
      <c r="E494">
        <v>250</v>
      </c>
      <c r="F494" t="s">
        <v>1458</v>
      </c>
      <c r="G494">
        <v>2025</v>
      </c>
      <c r="H494" t="s">
        <v>1457</v>
      </c>
      <c r="I494" t="s">
        <v>1459</v>
      </c>
      <c r="J494" t="s">
        <v>1394</v>
      </c>
      <c r="K494" t="s">
        <v>1457</v>
      </c>
      <c r="L494" t="s">
        <v>1460</v>
      </c>
      <c r="M494" t="s">
        <v>918</v>
      </c>
      <c r="N494" t="s">
        <v>1461</v>
      </c>
      <c r="O494" t="s">
        <v>1462</v>
      </c>
    </row>
    <row r="495" spans="1:15" x14ac:dyDescent="0.35">
      <c r="A495" t="s">
        <v>660</v>
      </c>
      <c r="B495" t="s">
        <v>1475</v>
      </c>
      <c r="C495" t="s">
        <v>1457</v>
      </c>
      <c r="D495" t="s">
        <v>932</v>
      </c>
      <c r="E495">
        <v>250</v>
      </c>
      <c r="F495" t="s">
        <v>951</v>
      </c>
      <c r="G495">
        <v>2025</v>
      </c>
      <c r="H495" t="s">
        <v>1457</v>
      </c>
      <c r="I495" t="s">
        <v>1459</v>
      </c>
      <c r="J495" t="s">
        <v>1394</v>
      </c>
      <c r="K495" t="s">
        <v>1457</v>
      </c>
      <c r="L495" t="s">
        <v>1460</v>
      </c>
      <c r="M495" t="s">
        <v>952</v>
      </c>
      <c r="N495" t="s">
        <v>1465</v>
      </c>
      <c r="O495" t="s">
        <v>1466</v>
      </c>
    </row>
    <row r="496" spans="1:15" x14ac:dyDescent="0.35">
      <c r="A496" t="s">
        <v>1476</v>
      </c>
      <c r="B496" t="s">
        <v>1477</v>
      </c>
      <c r="C496" t="s">
        <v>1457</v>
      </c>
      <c r="D496" t="s">
        <v>932</v>
      </c>
      <c r="E496">
        <v>250</v>
      </c>
      <c r="F496" t="s">
        <v>951</v>
      </c>
      <c r="G496">
        <v>2025</v>
      </c>
      <c r="H496" t="s">
        <v>1457</v>
      </c>
      <c r="I496" t="s">
        <v>1459</v>
      </c>
      <c r="J496" t="s">
        <v>1394</v>
      </c>
      <c r="K496" t="s">
        <v>1457</v>
      </c>
      <c r="L496" t="s">
        <v>1460</v>
      </c>
      <c r="M496" t="s">
        <v>969</v>
      </c>
      <c r="N496" t="s">
        <v>1465</v>
      </c>
      <c r="O496" t="s">
        <v>1466</v>
      </c>
    </row>
    <row r="497" spans="1:15" x14ac:dyDescent="0.35">
      <c r="A497" t="s">
        <v>275</v>
      </c>
      <c r="B497" t="s">
        <v>1478</v>
      </c>
      <c r="C497" t="s">
        <v>1457</v>
      </c>
      <c r="D497" t="s">
        <v>932</v>
      </c>
      <c r="E497">
        <v>250</v>
      </c>
      <c r="F497" t="s">
        <v>951</v>
      </c>
      <c r="G497">
        <v>2025</v>
      </c>
      <c r="H497" t="s">
        <v>1457</v>
      </c>
      <c r="I497" t="s">
        <v>1459</v>
      </c>
      <c r="J497" t="s">
        <v>1394</v>
      </c>
      <c r="K497" t="s">
        <v>1457</v>
      </c>
      <c r="L497" t="s">
        <v>1460</v>
      </c>
      <c r="M497" t="s">
        <v>918</v>
      </c>
      <c r="N497" t="s">
        <v>1465</v>
      </c>
      <c r="O497" t="s">
        <v>1466</v>
      </c>
    </row>
    <row r="498" spans="1:15" x14ac:dyDescent="0.35">
      <c r="A498" t="s">
        <v>665</v>
      </c>
      <c r="B498" t="s">
        <v>1479</v>
      </c>
      <c r="C498" t="s">
        <v>1457</v>
      </c>
      <c r="D498" t="s">
        <v>932</v>
      </c>
      <c r="E498">
        <v>250</v>
      </c>
      <c r="F498" t="s">
        <v>958</v>
      </c>
      <c r="G498">
        <v>2025</v>
      </c>
      <c r="H498" t="s">
        <v>1457</v>
      </c>
      <c r="I498" t="s">
        <v>1459</v>
      </c>
      <c r="J498" t="s">
        <v>1394</v>
      </c>
      <c r="K498" t="s">
        <v>1457</v>
      </c>
      <c r="L498" t="s">
        <v>1460</v>
      </c>
      <c r="M498" t="s">
        <v>952</v>
      </c>
      <c r="N498" t="s">
        <v>1469</v>
      </c>
      <c r="O498" t="s">
        <v>1470</v>
      </c>
    </row>
    <row r="499" spans="1:15" x14ac:dyDescent="0.35">
      <c r="A499" t="s">
        <v>1480</v>
      </c>
      <c r="B499" t="s">
        <v>1481</v>
      </c>
      <c r="C499" t="s">
        <v>1457</v>
      </c>
      <c r="D499" t="s">
        <v>932</v>
      </c>
      <c r="E499">
        <v>250</v>
      </c>
      <c r="F499" t="s">
        <v>958</v>
      </c>
      <c r="G499">
        <v>2025</v>
      </c>
      <c r="H499" t="s">
        <v>1457</v>
      </c>
      <c r="I499" t="s">
        <v>1459</v>
      </c>
      <c r="J499" t="s">
        <v>1394</v>
      </c>
      <c r="K499" t="s">
        <v>1457</v>
      </c>
      <c r="L499" t="s">
        <v>1460</v>
      </c>
      <c r="M499" t="s">
        <v>969</v>
      </c>
      <c r="N499" t="s">
        <v>1469</v>
      </c>
      <c r="O499" t="s">
        <v>1470</v>
      </c>
    </row>
    <row r="500" spans="1:15" x14ac:dyDescent="0.35">
      <c r="A500" t="s">
        <v>273</v>
      </c>
      <c r="B500" t="s">
        <v>1482</v>
      </c>
      <c r="C500" t="s">
        <v>1457</v>
      </c>
      <c r="D500" t="s">
        <v>932</v>
      </c>
      <c r="E500">
        <v>250</v>
      </c>
      <c r="F500" t="s">
        <v>958</v>
      </c>
      <c r="G500">
        <v>2025</v>
      </c>
      <c r="H500" t="s">
        <v>1457</v>
      </c>
      <c r="I500" t="s">
        <v>1459</v>
      </c>
      <c r="J500" t="s">
        <v>1394</v>
      </c>
      <c r="K500" t="s">
        <v>1457</v>
      </c>
      <c r="L500" t="s">
        <v>1460</v>
      </c>
      <c r="M500" t="s">
        <v>918</v>
      </c>
      <c r="N500" t="s">
        <v>1469</v>
      </c>
      <c r="O500" t="s">
        <v>1470</v>
      </c>
    </row>
    <row r="501" spans="1:15" x14ac:dyDescent="0.35">
      <c r="A501" t="s">
        <v>2250</v>
      </c>
      <c r="B501" t="s">
        <v>2251</v>
      </c>
      <c r="C501" t="s">
        <v>1457</v>
      </c>
      <c r="D501" t="s">
        <v>932</v>
      </c>
      <c r="E501">
        <v>250</v>
      </c>
      <c r="F501" t="s">
        <v>1458</v>
      </c>
      <c r="G501">
        <v>2026</v>
      </c>
      <c r="H501" t="s">
        <v>1457</v>
      </c>
      <c r="I501" t="s">
        <v>1459</v>
      </c>
      <c r="J501" t="s">
        <v>1394</v>
      </c>
      <c r="K501" t="s">
        <v>1457</v>
      </c>
      <c r="L501" t="s">
        <v>1460</v>
      </c>
      <c r="M501" t="s">
        <v>920</v>
      </c>
      <c r="N501" t="s">
        <v>1461</v>
      </c>
      <c r="O501" t="s">
        <v>1462</v>
      </c>
    </row>
    <row r="502" spans="1:15" x14ac:dyDescent="0.35">
      <c r="A502" t="s">
        <v>2252</v>
      </c>
      <c r="B502" t="s">
        <v>2253</v>
      </c>
      <c r="C502" t="s">
        <v>1457</v>
      </c>
      <c r="D502" t="s">
        <v>932</v>
      </c>
      <c r="E502">
        <v>250</v>
      </c>
      <c r="F502" t="s">
        <v>951</v>
      </c>
      <c r="G502">
        <v>2026</v>
      </c>
      <c r="H502" t="s">
        <v>1457</v>
      </c>
      <c r="I502" t="s">
        <v>1459</v>
      </c>
      <c r="J502" t="s">
        <v>1394</v>
      </c>
      <c r="K502" t="s">
        <v>1457</v>
      </c>
      <c r="L502" t="s">
        <v>1460</v>
      </c>
      <c r="M502" t="s">
        <v>920</v>
      </c>
      <c r="N502" t="s">
        <v>1465</v>
      </c>
      <c r="O502" t="s">
        <v>1466</v>
      </c>
    </row>
    <row r="503" spans="1:15" x14ac:dyDescent="0.35">
      <c r="A503" t="s">
        <v>2254</v>
      </c>
      <c r="B503" t="s">
        <v>2255</v>
      </c>
      <c r="C503" t="s">
        <v>1457</v>
      </c>
      <c r="D503" t="s">
        <v>932</v>
      </c>
      <c r="E503">
        <v>250</v>
      </c>
      <c r="F503" t="s">
        <v>958</v>
      </c>
      <c r="G503">
        <v>2026</v>
      </c>
      <c r="H503" t="s">
        <v>1457</v>
      </c>
      <c r="I503" t="s">
        <v>1459</v>
      </c>
      <c r="J503" t="s">
        <v>2256</v>
      </c>
      <c r="K503" t="s">
        <v>1457</v>
      </c>
      <c r="L503" t="s">
        <v>1460</v>
      </c>
      <c r="M503" t="s">
        <v>920</v>
      </c>
      <c r="N503" t="s">
        <v>1469</v>
      </c>
      <c r="O503" t="s">
        <v>1470</v>
      </c>
    </row>
    <row r="504" spans="1:15" x14ac:dyDescent="0.35">
      <c r="A504" t="s">
        <v>2369</v>
      </c>
      <c r="B504" t="s">
        <v>2370</v>
      </c>
      <c r="C504" t="s">
        <v>1457</v>
      </c>
      <c r="D504" t="s">
        <v>932</v>
      </c>
      <c r="E504">
        <v>250</v>
      </c>
      <c r="F504" t="s">
        <v>1458</v>
      </c>
      <c r="G504">
        <v>2026</v>
      </c>
      <c r="H504" t="s">
        <v>1457</v>
      </c>
      <c r="I504" t="s">
        <v>1459</v>
      </c>
      <c r="J504" t="s">
        <v>1394</v>
      </c>
      <c r="K504" t="s">
        <v>1457</v>
      </c>
      <c r="L504" t="s">
        <v>1460</v>
      </c>
      <c r="M504" t="s">
        <v>952</v>
      </c>
      <c r="N504" t="s">
        <v>1461</v>
      </c>
      <c r="O504" t="s">
        <v>1462</v>
      </c>
    </row>
    <row r="505" spans="1:15" x14ac:dyDescent="0.35">
      <c r="A505" t="s">
        <v>2371</v>
      </c>
      <c r="B505" t="s">
        <v>2372</v>
      </c>
      <c r="C505" t="s">
        <v>1457</v>
      </c>
      <c r="D505" t="s">
        <v>932</v>
      </c>
      <c r="E505">
        <v>250</v>
      </c>
      <c r="F505" t="s">
        <v>951</v>
      </c>
      <c r="G505">
        <v>2026</v>
      </c>
      <c r="H505" t="s">
        <v>1457</v>
      </c>
      <c r="I505" t="s">
        <v>1459</v>
      </c>
      <c r="J505" t="s">
        <v>1394</v>
      </c>
      <c r="K505" t="s">
        <v>1457</v>
      </c>
      <c r="L505" t="s">
        <v>1460</v>
      </c>
      <c r="M505" t="s">
        <v>952</v>
      </c>
      <c r="N505" t="s">
        <v>1465</v>
      </c>
      <c r="O505" t="s">
        <v>1466</v>
      </c>
    </row>
    <row r="506" spans="1:15" x14ac:dyDescent="0.35">
      <c r="A506" t="s">
        <v>2373</v>
      </c>
      <c r="B506" t="s">
        <v>2374</v>
      </c>
      <c r="C506" t="s">
        <v>1457</v>
      </c>
      <c r="D506" t="s">
        <v>932</v>
      </c>
      <c r="E506">
        <v>250</v>
      </c>
      <c r="F506" t="s">
        <v>958</v>
      </c>
      <c r="G506">
        <v>2026</v>
      </c>
      <c r="H506" t="s">
        <v>1457</v>
      </c>
      <c r="I506" t="s">
        <v>1459</v>
      </c>
      <c r="J506" t="s">
        <v>2256</v>
      </c>
      <c r="K506" t="s">
        <v>1457</v>
      </c>
      <c r="L506" t="s">
        <v>1460</v>
      </c>
      <c r="M506" t="s">
        <v>952</v>
      </c>
      <c r="N506" t="s">
        <v>1469</v>
      </c>
      <c r="O506" t="s">
        <v>1470</v>
      </c>
    </row>
    <row r="507" spans="1:15" x14ac:dyDescent="0.35">
      <c r="A507" t="s">
        <v>288</v>
      </c>
      <c r="B507" t="s">
        <v>2370</v>
      </c>
      <c r="C507" t="s">
        <v>1457</v>
      </c>
      <c r="D507" t="s">
        <v>932</v>
      </c>
      <c r="E507">
        <v>250</v>
      </c>
      <c r="F507" t="s">
        <v>1458</v>
      </c>
      <c r="G507">
        <v>2026</v>
      </c>
      <c r="H507" t="s">
        <v>1457</v>
      </c>
      <c r="I507" t="s">
        <v>1459</v>
      </c>
      <c r="J507" t="s">
        <v>1394</v>
      </c>
      <c r="K507" t="s">
        <v>1457</v>
      </c>
      <c r="L507" t="s">
        <v>1460</v>
      </c>
      <c r="M507" t="s">
        <v>918</v>
      </c>
      <c r="N507" t="s">
        <v>1461</v>
      </c>
      <c r="O507" t="s">
        <v>1462</v>
      </c>
    </row>
    <row r="508" spans="1:15" x14ac:dyDescent="0.35">
      <c r="A508" t="s">
        <v>313</v>
      </c>
      <c r="B508" t="s">
        <v>2372</v>
      </c>
      <c r="C508" t="s">
        <v>1457</v>
      </c>
      <c r="D508" t="s">
        <v>932</v>
      </c>
      <c r="E508">
        <v>250</v>
      </c>
      <c r="F508" t="s">
        <v>951</v>
      </c>
      <c r="G508">
        <v>2026</v>
      </c>
      <c r="H508" t="s">
        <v>1457</v>
      </c>
      <c r="I508" t="s">
        <v>1459</v>
      </c>
      <c r="J508" t="s">
        <v>1394</v>
      </c>
      <c r="K508" t="s">
        <v>1457</v>
      </c>
      <c r="L508" t="s">
        <v>1460</v>
      </c>
      <c r="M508" t="s">
        <v>918</v>
      </c>
      <c r="N508" t="s">
        <v>1465</v>
      </c>
      <c r="O508" t="s">
        <v>1466</v>
      </c>
    </row>
    <row r="509" spans="1:15" x14ac:dyDescent="0.35">
      <c r="A509" t="s">
        <v>305</v>
      </c>
      <c r="B509" t="s">
        <v>2374</v>
      </c>
      <c r="C509" t="s">
        <v>1457</v>
      </c>
      <c r="D509" t="s">
        <v>932</v>
      </c>
      <c r="E509">
        <v>250</v>
      </c>
      <c r="F509" t="s">
        <v>958</v>
      </c>
      <c r="G509">
        <v>2026</v>
      </c>
      <c r="H509" t="s">
        <v>1457</v>
      </c>
      <c r="I509" t="s">
        <v>1459</v>
      </c>
      <c r="J509" t="s">
        <v>2256</v>
      </c>
      <c r="K509" t="s">
        <v>1457</v>
      </c>
      <c r="L509" t="s">
        <v>1460</v>
      </c>
      <c r="M509" t="s">
        <v>918</v>
      </c>
      <c r="N509" t="s">
        <v>1469</v>
      </c>
      <c r="O509" t="s">
        <v>1470</v>
      </c>
    </row>
    <row r="510" spans="1:15" x14ac:dyDescent="0.35">
      <c r="A510" t="s">
        <v>2451</v>
      </c>
      <c r="B510" t="s">
        <v>2370</v>
      </c>
      <c r="C510" t="s">
        <v>1457</v>
      </c>
      <c r="D510" t="s">
        <v>932</v>
      </c>
      <c r="E510">
        <v>250</v>
      </c>
      <c r="F510" t="s">
        <v>1458</v>
      </c>
      <c r="G510">
        <v>2026</v>
      </c>
      <c r="H510" t="s">
        <v>1457</v>
      </c>
      <c r="I510" t="s">
        <v>1459</v>
      </c>
      <c r="J510" t="s">
        <v>1394</v>
      </c>
      <c r="K510" t="s">
        <v>1457</v>
      </c>
      <c r="L510" t="s">
        <v>1460</v>
      </c>
      <c r="M510" t="s">
        <v>969</v>
      </c>
      <c r="N510" t="s">
        <v>1461</v>
      </c>
      <c r="O510" t="s">
        <v>1462</v>
      </c>
    </row>
    <row r="511" spans="1:15" x14ac:dyDescent="0.35">
      <c r="A511" t="s">
        <v>2452</v>
      </c>
      <c r="B511" t="s">
        <v>2372</v>
      </c>
      <c r="C511" t="s">
        <v>1457</v>
      </c>
      <c r="D511" t="s">
        <v>932</v>
      </c>
      <c r="E511">
        <v>250</v>
      </c>
      <c r="F511" t="s">
        <v>951</v>
      </c>
      <c r="G511">
        <v>2026</v>
      </c>
      <c r="H511" t="s">
        <v>1457</v>
      </c>
      <c r="I511" t="s">
        <v>1459</v>
      </c>
      <c r="J511" t="s">
        <v>1394</v>
      </c>
      <c r="K511" t="s">
        <v>1457</v>
      </c>
      <c r="L511" t="s">
        <v>1460</v>
      </c>
      <c r="M511" t="s">
        <v>969</v>
      </c>
      <c r="N511" t="s">
        <v>1465</v>
      </c>
      <c r="O511" t="s">
        <v>1466</v>
      </c>
    </row>
    <row r="512" spans="1:15" x14ac:dyDescent="0.35">
      <c r="A512" t="s">
        <v>2453</v>
      </c>
      <c r="B512" t="s">
        <v>2374</v>
      </c>
      <c r="C512" t="s">
        <v>1457</v>
      </c>
      <c r="D512" t="s">
        <v>932</v>
      </c>
      <c r="E512">
        <v>250</v>
      </c>
      <c r="F512" t="s">
        <v>958</v>
      </c>
      <c r="G512">
        <v>2026</v>
      </c>
      <c r="H512" t="s">
        <v>1457</v>
      </c>
      <c r="I512" t="s">
        <v>1459</v>
      </c>
      <c r="J512" t="s">
        <v>2256</v>
      </c>
      <c r="K512" t="s">
        <v>1457</v>
      </c>
      <c r="L512" t="s">
        <v>1460</v>
      </c>
      <c r="M512" t="s">
        <v>969</v>
      </c>
      <c r="N512" t="s">
        <v>1469</v>
      </c>
      <c r="O512" t="s">
        <v>1470</v>
      </c>
    </row>
    <row r="513" spans="1:15" x14ac:dyDescent="0.35">
      <c r="A513" t="s">
        <v>1407</v>
      </c>
      <c r="B513" t="s">
        <v>1408</v>
      </c>
      <c r="C513" t="s">
        <v>1409</v>
      </c>
      <c r="D513" t="s">
        <v>932</v>
      </c>
      <c r="E513">
        <v>250</v>
      </c>
      <c r="F513" t="s">
        <v>958</v>
      </c>
      <c r="G513">
        <v>2024</v>
      </c>
      <c r="H513" t="s">
        <v>1409</v>
      </c>
      <c r="I513" t="s">
        <v>1410</v>
      </c>
      <c r="J513" t="s">
        <v>1394</v>
      </c>
      <c r="K513" t="s">
        <v>796</v>
      </c>
      <c r="L513" t="s">
        <v>1411</v>
      </c>
      <c r="M513" t="s">
        <v>920</v>
      </c>
      <c r="N513" t="s">
        <v>1395</v>
      </c>
      <c r="O513" t="s">
        <v>922</v>
      </c>
    </row>
    <row r="514" spans="1:15" x14ac:dyDescent="0.35">
      <c r="A514" t="s">
        <v>1412</v>
      </c>
      <c r="B514" t="s">
        <v>1413</v>
      </c>
      <c r="C514" t="s">
        <v>1409</v>
      </c>
      <c r="D514" t="s">
        <v>932</v>
      </c>
      <c r="E514">
        <v>250</v>
      </c>
      <c r="F514" t="s">
        <v>958</v>
      </c>
      <c r="G514">
        <v>2025</v>
      </c>
      <c r="H514" t="s">
        <v>1409</v>
      </c>
      <c r="I514" t="s">
        <v>1410</v>
      </c>
      <c r="J514" t="s">
        <v>1394</v>
      </c>
      <c r="K514" t="s">
        <v>796</v>
      </c>
      <c r="L514" t="s">
        <v>1411</v>
      </c>
      <c r="M514" t="s">
        <v>920</v>
      </c>
      <c r="N514" t="s">
        <v>1395</v>
      </c>
      <c r="O514" t="s">
        <v>1396</v>
      </c>
    </row>
    <row r="515" spans="1:15" x14ac:dyDescent="0.35">
      <c r="A515" t="s">
        <v>1414</v>
      </c>
      <c r="B515" t="s">
        <v>1415</v>
      </c>
      <c r="C515" t="s">
        <v>1409</v>
      </c>
      <c r="D515" t="s">
        <v>932</v>
      </c>
      <c r="E515">
        <v>250</v>
      </c>
      <c r="F515" t="s">
        <v>1006</v>
      </c>
      <c r="G515">
        <v>2024</v>
      </c>
      <c r="H515" t="s">
        <v>1409</v>
      </c>
      <c r="I515" t="s">
        <v>1410</v>
      </c>
      <c r="J515" t="s">
        <v>1394</v>
      </c>
      <c r="K515" t="s">
        <v>796</v>
      </c>
      <c r="L515" t="s">
        <v>1411</v>
      </c>
      <c r="M515" t="s">
        <v>920</v>
      </c>
      <c r="N515" t="s">
        <v>1398</v>
      </c>
      <c r="O515" t="s">
        <v>922</v>
      </c>
    </row>
    <row r="516" spans="1:15" x14ac:dyDescent="0.35">
      <c r="A516" t="s">
        <v>1416</v>
      </c>
      <c r="B516" t="s">
        <v>1417</v>
      </c>
      <c r="C516" t="s">
        <v>1409</v>
      </c>
      <c r="D516" t="s">
        <v>932</v>
      </c>
      <c r="E516">
        <v>250</v>
      </c>
      <c r="F516" t="s">
        <v>1006</v>
      </c>
      <c r="G516">
        <v>2025</v>
      </c>
      <c r="H516" t="s">
        <v>1409</v>
      </c>
      <c r="I516" t="s">
        <v>1410</v>
      </c>
      <c r="J516" t="s">
        <v>1394</v>
      </c>
      <c r="K516" t="s">
        <v>796</v>
      </c>
      <c r="L516" t="s">
        <v>1411</v>
      </c>
      <c r="M516" t="s">
        <v>920</v>
      </c>
      <c r="N516" t="s">
        <v>1398</v>
      </c>
      <c r="O516" t="s">
        <v>1418</v>
      </c>
    </row>
    <row r="517" spans="1:15" x14ac:dyDescent="0.35">
      <c r="A517" t="s">
        <v>1419</v>
      </c>
      <c r="B517" t="s">
        <v>1420</v>
      </c>
      <c r="C517" t="s">
        <v>1409</v>
      </c>
      <c r="D517" t="s">
        <v>932</v>
      </c>
      <c r="E517">
        <v>250</v>
      </c>
      <c r="F517" t="s">
        <v>958</v>
      </c>
      <c r="G517">
        <v>2025</v>
      </c>
      <c r="H517" t="s">
        <v>1409</v>
      </c>
      <c r="I517" t="s">
        <v>1410</v>
      </c>
      <c r="J517" t="s">
        <v>1394</v>
      </c>
      <c r="K517" t="s">
        <v>796</v>
      </c>
      <c r="L517" t="s">
        <v>1411</v>
      </c>
      <c r="M517" t="s">
        <v>952</v>
      </c>
      <c r="N517" t="s">
        <v>1395</v>
      </c>
      <c r="O517" t="s">
        <v>1396</v>
      </c>
    </row>
    <row r="518" spans="1:15" x14ac:dyDescent="0.35">
      <c r="A518" t="s">
        <v>1421</v>
      </c>
      <c r="B518" t="s">
        <v>1422</v>
      </c>
      <c r="C518" t="s">
        <v>1409</v>
      </c>
      <c r="D518" t="s">
        <v>932</v>
      </c>
      <c r="E518">
        <v>250</v>
      </c>
      <c r="F518" t="s">
        <v>1006</v>
      </c>
      <c r="G518">
        <v>2025</v>
      </c>
      <c r="H518" t="s">
        <v>1409</v>
      </c>
      <c r="I518" t="s">
        <v>1410</v>
      </c>
      <c r="J518" t="s">
        <v>1394</v>
      </c>
      <c r="K518" t="s">
        <v>796</v>
      </c>
      <c r="L518" t="s">
        <v>1411</v>
      </c>
      <c r="M518" t="s">
        <v>952</v>
      </c>
      <c r="N518" t="s">
        <v>1398</v>
      </c>
      <c r="O518" t="s">
        <v>1399</v>
      </c>
    </row>
    <row r="519" spans="1:15" x14ac:dyDescent="0.35">
      <c r="A519" t="s">
        <v>1423</v>
      </c>
      <c r="B519" t="s">
        <v>1424</v>
      </c>
      <c r="C519" t="s">
        <v>1409</v>
      </c>
      <c r="D519" t="s">
        <v>932</v>
      </c>
      <c r="E519">
        <v>250</v>
      </c>
      <c r="F519" t="s">
        <v>958</v>
      </c>
      <c r="G519">
        <v>2023</v>
      </c>
      <c r="H519" t="s">
        <v>1409</v>
      </c>
      <c r="I519" t="s">
        <v>1410</v>
      </c>
      <c r="J519" t="s">
        <v>1394</v>
      </c>
      <c r="K519" t="s">
        <v>796</v>
      </c>
      <c r="L519" t="s">
        <v>1411</v>
      </c>
      <c r="M519" t="s">
        <v>952</v>
      </c>
      <c r="N519" t="s">
        <v>1395</v>
      </c>
      <c r="O519" t="s">
        <v>922</v>
      </c>
    </row>
    <row r="520" spans="1:15" x14ac:dyDescent="0.35">
      <c r="A520" t="s">
        <v>1425</v>
      </c>
      <c r="B520" t="s">
        <v>1426</v>
      </c>
      <c r="C520" t="s">
        <v>1409</v>
      </c>
      <c r="D520" t="s">
        <v>932</v>
      </c>
      <c r="E520">
        <v>250</v>
      </c>
      <c r="F520" t="s">
        <v>958</v>
      </c>
      <c r="G520">
        <v>2023</v>
      </c>
      <c r="H520" t="s">
        <v>1409</v>
      </c>
      <c r="I520" t="s">
        <v>1410</v>
      </c>
      <c r="J520" t="s">
        <v>1394</v>
      </c>
      <c r="K520" t="s">
        <v>796</v>
      </c>
      <c r="L520" t="s">
        <v>1411</v>
      </c>
      <c r="M520" t="s">
        <v>969</v>
      </c>
      <c r="N520" t="s">
        <v>1395</v>
      </c>
      <c r="O520" t="s">
        <v>922</v>
      </c>
    </row>
    <row r="521" spans="1:15" x14ac:dyDescent="0.35">
      <c r="A521" t="s">
        <v>337</v>
      </c>
      <c r="B521" t="s">
        <v>65</v>
      </c>
      <c r="C521" t="s">
        <v>1409</v>
      </c>
      <c r="D521" t="s">
        <v>932</v>
      </c>
      <c r="E521">
        <v>250</v>
      </c>
      <c r="F521" t="s">
        <v>958</v>
      </c>
      <c r="G521">
        <v>2023</v>
      </c>
      <c r="H521" t="s">
        <v>1409</v>
      </c>
      <c r="I521" t="s">
        <v>1410</v>
      </c>
      <c r="J521" t="s">
        <v>1394</v>
      </c>
      <c r="K521" t="s">
        <v>796</v>
      </c>
      <c r="L521" t="s">
        <v>1411</v>
      </c>
      <c r="M521" t="s">
        <v>918</v>
      </c>
      <c r="N521" t="s">
        <v>1395</v>
      </c>
      <c r="O521" t="s">
        <v>922</v>
      </c>
    </row>
    <row r="522" spans="1:15" x14ac:dyDescent="0.35">
      <c r="A522" t="s">
        <v>1427</v>
      </c>
      <c r="B522" t="s">
        <v>1428</v>
      </c>
      <c r="C522" t="s">
        <v>1409</v>
      </c>
      <c r="D522" t="s">
        <v>932</v>
      </c>
      <c r="E522">
        <v>250</v>
      </c>
      <c r="F522" t="s">
        <v>958</v>
      </c>
      <c r="G522">
        <v>2024</v>
      </c>
      <c r="H522" t="s">
        <v>1409</v>
      </c>
      <c r="I522" t="s">
        <v>1410</v>
      </c>
      <c r="J522" t="s">
        <v>1394</v>
      </c>
      <c r="K522" t="s">
        <v>796</v>
      </c>
      <c r="L522" t="s">
        <v>1411</v>
      </c>
      <c r="M522" t="s">
        <v>952</v>
      </c>
      <c r="N522" t="s">
        <v>1395</v>
      </c>
      <c r="O522" t="s">
        <v>922</v>
      </c>
    </row>
    <row r="523" spans="1:15" x14ac:dyDescent="0.35">
      <c r="A523" t="s">
        <v>1429</v>
      </c>
      <c r="B523" t="s">
        <v>1430</v>
      </c>
      <c r="C523" t="s">
        <v>1409</v>
      </c>
      <c r="D523" t="s">
        <v>932</v>
      </c>
      <c r="E523">
        <v>250</v>
      </c>
      <c r="F523" t="s">
        <v>958</v>
      </c>
      <c r="G523">
        <v>2024</v>
      </c>
      <c r="H523" t="s">
        <v>1409</v>
      </c>
      <c r="I523" t="s">
        <v>1410</v>
      </c>
      <c r="J523" t="s">
        <v>1394</v>
      </c>
      <c r="K523" t="s">
        <v>796</v>
      </c>
      <c r="L523" t="s">
        <v>1411</v>
      </c>
      <c r="M523" t="s">
        <v>969</v>
      </c>
      <c r="N523" t="s">
        <v>1395</v>
      </c>
      <c r="O523" t="s">
        <v>922</v>
      </c>
    </row>
    <row r="524" spans="1:15" x14ac:dyDescent="0.35">
      <c r="A524" t="s">
        <v>294</v>
      </c>
      <c r="B524" t="s">
        <v>66</v>
      </c>
      <c r="C524" t="s">
        <v>1409</v>
      </c>
      <c r="D524" t="s">
        <v>932</v>
      </c>
      <c r="E524">
        <v>250</v>
      </c>
      <c r="F524" t="s">
        <v>958</v>
      </c>
      <c r="G524">
        <v>2024</v>
      </c>
      <c r="H524" t="s">
        <v>1409</v>
      </c>
      <c r="I524" t="s">
        <v>1410</v>
      </c>
      <c r="J524" t="s">
        <v>1394</v>
      </c>
      <c r="K524" t="s">
        <v>796</v>
      </c>
      <c r="L524" t="s">
        <v>1411</v>
      </c>
      <c r="M524" t="s">
        <v>918</v>
      </c>
      <c r="N524" t="s">
        <v>1395</v>
      </c>
      <c r="O524" t="s">
        <v>922</v>
      </c>
    </row>
    <row r="525" spans="1:15" x14ac:dyDescent="0.35">
      <c r="A525" t="s">
        <v>662</v>
      </c>
      <c r="B525" t="s">
        <v>1431</v>
      </c>
      <c r="C525" t="s">
        <v>1409</v>
      </c>
      <c r="D525" t="s">
        <v>932</v>
      </c>
      <c r="E525">
        <v>250</v>
      </c>
      <c r="F525" t="s">
        <v>958</v>
      </c>
      <c r="G525">
        <v>2025</v>
      </c>
      <c r="H525" t="s">
        <v>1409</v>
      </c>
      <c r="I525" t="s">
        <v>1410</v>
      </c>
      <c r="J525" t="s">
        <v>1394</v>
      </c>
      <c r="K525" t="s">
        <v>796</v>
      </c>
      <c r="L525" t="s">
        <v>1411</v>
      </c>
      <c r="M525" t="s">
        <v>952</v>
      </c>
      <c r="N525" t="s">
        <v>1395</v>
      </c>
      <c r="O525" t="s">
        <v>1396</v>
      </c>
    </row>
    <row r="526" spans="1:15" x14ac:dyDescent="0.35">
      <c r="A526" t="s">
        <v>1432</v>
      </c>
      <c r="B526" t="s">
        <v>1433</v>
      </c>
      <c r="C526" t="s">
        <v>1409</v>
      </c>
      <c r="D526" t="s">
        <v>932</v>
      </c>
      <c r="E526">
        <v>250</v>
      </c>
      <c r="F526" t="s">
        <v>958</v>
      </c>
      <c r="G526">
        <v>2025</v>
      </c>
      <c r="H526" t="s">
        <v>1409</v>
      </c>
      <c r="I526" t="s">
        <v>1410</v>
      </c>
      <c r="J526" t="s">
        <v>1394</v>
      </c>
      <c r="K526" t="s">
        <v>796</v>
      </c>
      <c r="L526" t="s">
        <v>1411</v>
      </c>
      <c r="M526" t="s">
        <v>969</v>
      </c>
      <c r="N526" t="s">
        <v>1395</v>
      </c>
      <c r="O526" t="s">
        <v>1396</v>
      </c>
    </row>
    <row r="527" spans="1:15" x14ac:dyDescent="0.35">
      <c r="A527" t="s">
        <v>274</v>
      </c>
      <c r="B527" t="s">
        <v>124</v>
      </c>
      <c r="C527" t="s">
        <v>1409</v>
      </c>
      <c r="D527" t="s">
        <v>932</v>
      </c>
      <c r="E527">
        <v>250</v>
      </c>
      <c r="F527" t="s">
        <v>958</v>
      </c>
      <c r="G527">
        <v>2025</v>
      </c>
      <c r="H527" t="s">
        <v>1409</v>
      </c>
      <c r="I527" t="s">
        <v>1410</v>
      </c>
      <c r="J527" t="s">
        <v>1394</v>
      </c>
      <c r="K527" t="s">
        <v>796</v>
      </c>
      <c r="L527" t="s">
        <v>1411</v>
      </c>
      <c r="M527" t="s">
        <v>918</v>
      </c>
      <c r="N527" t="s">
        <v>1395</v>
      </c>
      <c r="O527" t="s">
        <v>1396</v>
      </c>
    </row>
    <row r="528" spans="1:15" x14ac:dyDescent="0.35">
      <c r="A528" t="s">
        <v>1434</v>
      </c>
      <c r="B528" t="s">
        <v>1435</v>
      </c>
      <c r="C528" t="s">
        <v>1409</v>
      </c>
      <c r="D528" t="s">
        <v>932</v>
      </c>
      <c r="E528">
        <v>250</v>
      </c>
      <c r="F528" t="s">
        <v>1006</v>
      </c>
      <c r="G528">
        <v>2024</v>
      </c>
      <c r="H528" t="s">
        <v>1409</v>
      </c>
      <c r="I528" t="s">
        <v>1410</v>
      </c>
      <c r="J528" t="s">
        <v>1394</v>
      </c>
      <c r="K528" t="s">
        <v>796</v>
      </c>
      <c r="L528" t="s">
        <v>1411</v>
      </c>
      <c r="M528" t="s">
        <v>952</v>
      </c>
      <c r="N528" t="s">
        <v>1398</v>
      </c>
      <c r="O528" t="s">
        <v>922</v>
      </c>
    </row>
    <row r="529" spans="1:15" x14ac:dyDescent="0.35">
      <c r="A529" t="s">
        <v>1436</v>
      </c>
      <c r="B529" t="s">
        <v>1437</v>
      </c>
      <c r="C529" t="s">
        <v>1409</v>
      </c>
      <c r="D529" t="s">
        <v>932</v>
      </c>
      <c r="E529">
        <v>250</v>
      </c>
      <c r="F529" t="s">
        <v>1006</v>
      </c>
      <c r="G529">
        <v>2024</v>
      </c>
      <c r="H529" t="s">
        <v>1409</v>
      </c>
      <c r="I529" t="s">
        <v>1410</v>
      </c>
      <c r="J529" t="s">
        <v>1394</v>
      </c>
      <c r="K529" t="s">
        <v>796</v>
      </c>
      <c r="L529" t="s">
        <v>1411</v>
      </c>
      <c r="M529" t="s">
        <v>969</v>
      </c>
      <c r="N529" t="s">
        <v>1398</v>
      </c>
      <c r="O529" t="s">
        <v>922</v>
      </c>
    </row>
    <row r="530" spans="1:15" x14ac:dyDescent="0.35">
      <c r="A530" t="s">
        <v>1438</v>
      </c>
      <c r="B530" t="s">
        <v>1439</v>
      </c>
      <c r="C530" t="s">
        <v>1409</v>
      </c>
      <c r="D530" t="s">
        <v>932</v>
      </c>
      <c r="E530">
        <v>250</v>
      </c>
      <c r="F530" t="s">
        <v>958</v>
      </c>
      <c r="G530">
        <v>2024</v>
      </c>
      <c r="H530" t="s">
        <v>1409</v>
      </c>
      <c r="I530" t="s">
        <v>1410</v>
      </c>
      <c r="J530" t="s">
        <v>1394</v>
      </c>
      <c r="K530" t="s">
        <v>796</v>
      </c>
      <c r="L530" t="s">
        <v>1411</v>
      </c>
      <c r="M530" t="s">
        <v>918</v>
      </c>
      <c r="N530" t="s">
        <v>1395</v>
      </c>
      <c r="O530" t="s">
        <v>922</v>
      </c>
    </row>
    <row r="531" spans="1:15" x14ac:dyDescent="0.35">
      <c r="A531" t="s">
        <v>663</v>
      </c>
      <c r="B531" t="s">
        <v>1440</v>
      </c>
      <c r="C531" t="s">
        <v>1409</v>
      </c>
      <c r="D531" t="s">
        <v>932</v>
      </c>
      <c r="E531">
        <v>250</v>
      </c>
      <c r="F531" t="s">
        <v>1006</v>
      </c>
      <c r="G531">
        <v>2025</v>
      </c>
      <c r="H531" t="s">
        <v>1409</v>
      </c>
      <c r="I531" t="s">
        <v>1410</v>
      </c>
      <c r="J531" t="s">
        <v>1394</v>
      </c>
      <c r="K531" t="s">
        <v>796</v>
      </c>
      <c r="L531" t="s">
        <v>1411</v>
      </c>
      <c r="M531" t="s">
        <v>952</v>
      </c>
      <c r="N531" t="s">
        <v>1398</v>
      </c>
      <c r="O531" t="s">
        <v>1418</v>
      </c>
    </row>
    <row r="532" spans="1:15" x14ac:dyDescent="0.35">
      <c r="A532" t="s">
        <v>1441</v>
      </c>
      <c r="B532" t="s">
        <v>1442</v>
      </c>
      <c r="C532" t="s">
        <v>1409</v>
      </c>
      <c r="D532" t="s">
        <v>932</v>
      </c>
      <c r="E532">
        <v>250</v>
      </c>
      <c r="F532" t="s">
        <v>1006</v>
      </c>
      <c r="G532">
        <v>2025</v>
      </c>
      <c r="H532" t="s">
        <v>1409</v>
      </c>
      <c r="I532" t="s">
        <v>1410</v>
      </c>
      <c r="J532" t="s">
        <v>1394</v>
      </c>
      <c r="K532" t="s">
        <v>796</v>
      </c>
      <c r="L532" t="s">
        <v>1411</v>
      </c>
      <c r="M532" t="s">
        <v>969</v>
      </c>
      <c r="N532" t="s">
        <v>1398</v>
      </c>
      <c r="O532" t="s">
        <v>1418</v>
      </c>
    </row>
    <row r="533" spans="1:15" x14ac:dyDescent="0.35">
      <c r="A533" t="s">
        <v>300</v>
      </c>
      <c r="B533" t="s">
        <v>126</v>
      </c>
      <c r="C533" t="s">
        <v>1409</v>
      </c>
      <c r="D533" t="s">
        <v>932</v>
      </c>
      <c r="E533">
        <v>250</v>
      </c>
      <c r="F533" t="s">
        <v>1006</v>
      </c>
      <c r="G533">
        <v>2025</v>
      </c>
      <c r="H533" t="s">
        <v>1409</v>
      </c>
      <c r="I533" t="s">
        <v>1410</v>
      </c>
      <c r="J533" t="s">
        <v>1394</v>
      </c>
      <c r="K533" t="s">
        <v>796</v>
      </c>
      <c r="L533" t="s">
        <v>1411</v>
      </c>
      <c r="M533" t="s">
        <v>918</v>
      </c>
      <c r="N533" t="s">
        <v>1398</v>
      </c>
      <c r="O533" t="s">
        <v>1418</v>
      </c>
    </row>
    <row r="534" spans="1:15" x14ac:dyDescent="0.35">
      <c r="A534" t="s">
        <v>1453</v>
      </c>
      <c r="B534" t="s">
        <v>1454</v>
      </c>
      <c r="C534" t="s">
        <v>1409</v>
      </c>
      <c r="D534" t="s">
        <v>932</v>
      </c>
      <c r="E534">
        <v>250</v>
      </c>
      <c r="F534" t="s">
        <v>942</v>
      </c>
      <c r="G534">
        <v>2025</v>
      </c>
      <c r="H534" t="s">
        <v>1409</v>
      </c>
      <c r="I534" t="s">
        <v>1410</v>
      </c>
      <c r="J534" t="s">
        <v>1394</v>
      </c>
      <c r="K534" t="s">
        <v>796</v>
      </c>
      <c r="L534" t="s">
        <v>1411</v>
      </c>
      <c r="M534" t="s">
        <v>920</v>
      </c>
      <c r="N534" t="s">
        <v>1404</v>
      </c>
      <c r="O534" t="s">
        <v>1405</v>
      </c>
    </row>
    <row r="535" spans="1:15" x14ac:dyDescent="0.35">
      <c r="A535" t="s">
        <v>2180</v>
      </c>
      <c r="B535" t="s">
        <v>2181</v>
      </c>
      <c r="C535" t="s">
        <v>1409</v>
      </c>
      <c r="D535" t="s">
        <v>932</v>
      </c>
      <c r="E535">
        <v>250</v>
      </c>
      <c r="F535" t="s">
        <v>942</v>
      </c>
      <c r="G535">
        <v>2025</v>
      </c>
      <c r="H535" t="s">
        <v>1409</v>
      </c>
      <c r="I535" t="s">
        <v>1410</v>
      </c>
      <c r="J535" t="s">
        <v>1394</v>
      </c>
      <c r="K535" t="s">
        <v>796</v>
      </c>
      <c r="L535" t="s">
        <v>1411</v>
      </c>
      <c r="M535" t="s">
        <v>952</v>
      </c>
      <c r="N535" t="s">
        <v>1404</v>
      </c>
      <c r="O535" t="s">
        <v>1405</v>
      </c>
    </row>
    <row r="536" spans="1:15" x14ac:dyDescent="0.35">
      <c r="A536" t="s">
        <v>2182</v>
      </c>
      <c r="B536" t="s">
        <v>2183</v>
      </c>
      <c r="C536" t="s">
        <v>1409</v>
      </c>
      <c r="D536" t="s">
        <v>932</v>
      </c>
      <c r="E536">
        <v>250</v>
      </c>
      <c r="F536" t="s">
        <v>942</v>
      </c>
      <c r="G536">
        <v>2025</v>
      </c>
      <c r="H536" t="s">
        <v>1409</v>
      </c>
      <c r="I536" t="s">
        <v>1410</v>
      </c>
      <c r="J536" t="s">
        <v>1394</v>
      </c>
      <c r="K536" t="s">
        <v>796</v>
      </c>
      <c r="L536" t="s">
        <v>1411</v>
      </c>
      <c r="M536" t="s">
        <v>918</v>
      </c>
      <c r="N536" t="s">
        <v>1404</v>
      </c>
      <c r="O536" t="s">
        <v>1405</v>
      </c>
    </row>
    <row r="537" spans="1:15" x14ac:dyDescent="0.35">
      <c r="A537" t="s">
        <v>2184</v>
      </c>
      <c r="B537" t="s">
        <v>2185</v>
      </c>
      <c r="C537" t="s">
        <v>1409</v>
      </c>
      <c r="D537" t="s">
        <v>932</v>
      </c>
      <c r="E537">
        <v>250</v>
      </c>
      <c r="F537" t="s">
        <v>942</v>
      </c>
      <c r="G537">
        <v>2025</v>
      </c>
      <c r="H537" t="s">
        <v>1409</v>
      </c>
      <c r="I537" t="s">
        <v>1410</v>
      </c>
      <c r="J537" t="s">
        <v>1394</v>
      </c>
      <c r="K537" t="s">
        <v>796</v>
      </c>
      <c r="L537" t="s">
        <v>1411</v>
      </c>
      <c r="M537" t="s">
        <v>969</v>
      </c>
      <c r="N537" t="s">
        <v>1404</v>
      </c>
      <c r="O537" t="s">
        <v>1405</v>
      </c>
    </row>
    <row r="538" spans="1:15" x14ac:dyDescent="0.35">
      <c r="A538" t="s">
        <v>2215</v>
      </c>
      <c r="B538" t="s">
        <v>2216</v>
      </c>
      <c r="C538" t="s">
        <v>1409</v>
      </c>
      <c r="D538" t="s">
        <v>932</v>
      </c>
      <c r="E538">
        <v>250</v>
      </c>
      <c r="F538" t="s">
        <v>958</v>
      </c>
      <c r="G538">
        <v>2026</v>
      </c>
      <c r="H538" t="s">
        <v>1409</v>
      </c>
      <c r="I538" t="s">
        <v>1410</v>
      </c>
      <c r="J538" t="s">
        <v>1394</v>
      </c>
      <c r="K538" t="s">
        <v>796</v>
      </c>
      <c r="L538" t="s">
        <v>1411</v>
      </c>
      <c r="M538" t="s">
        <v>920</v>
      </c>
      <c r="N538" t="s">
        <v>1395</v>
      </c>
      <c r="O538" t="s">
        <v>1396</v>
      </c>
    </row>
    <row r="539" spans="1:15" x14ac:dyDescent="0.35">
      <c r="A539" t="s">
        <v>2217</v>
      </c>
      <c r="B539" t="s">
        <v>2218</v>
      </c>
      <c r="C539" t="s">
        <v>1409</v>
      </c>
      <c r="D539" t="s">
        <v>932</v>
      </c>
      <c r="E539">
        <v>250</v>
      </c>
      <c r="F539" t="s">
        <v>1006</v>
      </c>
      <c r="G539">
        <v>2026</v>
      </c>
      <c r="H539" t="s">
        <v>1409</v>
      </c>
      <c r="I539" t="s">
        <v>1410</v>
      </c>
      <c r="J539" t="s">
        <v>1394</v>
      </c>
      <c r="K539" t="s">
        <v>796</v>
      </c>
      <c r="L539" t="s">
        <v>1411</v>
      </c>
      <c r="M539" t="s">
        <v>920</v>
      </c>
      <c r="N539" t="s">
        <v>1398</v>
      </c>
      <c r="O539" t="s">
        <v>1418</v>
      </c>
    </row>
    <row r="540" spans="1:15" x14ac:dyDescent="0.35">
      <c r="A540" t="s">
        <v>2219</v>
      </c>
      <c r="B540" t="s">
        <v>2220</v>
      </c>
      <c r="C540" t="s">
        <v>1409</v>
      </c>
      <c r="D540" t="s">
        <v>932</v>
      </c>
      <c r="E540">
        <v>250</v>
      </c>
      <c r="F540" t="s">
        <v>942</v>
      </c>
      <c r="G540">
        <v>2026</v>
      </c>
      <c r="H540" t="s">
        <v>1409</v>
      </c>
      <c r="I540" t="s">
        <v>1410</v>
      </c>
      <c r="J540" t="s">
        <v>1394</v>
      </c>
      <c r="K540" t="s">
        <v>796</v>
      </c>
      <c r="L540" t="s">
        <v>1411</v>
      </c>
      <c r="M540" t="s">
        <v>920</v>
      </c>
      <c r="N540" t="s">
        <v>1404</v>
      </c>
      <c r="O540" t="s">
        <v>1405</v>
      </c>
    </row>
    <row r="541" spans="1:15" x14ac:dyDescent="0.35">
      <c r="A541" t="s">
        <v>2337</v>
      </c>
      <c r="B541" t="s">
        <v>2338</v>
      </c>
      <c r="C541" t="s">
        <v>1409</v>
      </c>
      <c r="D541" t="s">
        <v>932</v>
      </c>
      <c r="E541">
        <v>250</v>
      </c>
      <c r="F541" t="s">
        <v>958</v>
      </c>
      <c r="G541">
        <v>2026</v>
      </c>
      <c r="H541" t="s">
        <v>1409</v>
      </c>
      <c r="I541" t="s">
        <v>1410</v>
      </c>
      <c r="J541" t="s">
        <v>1394</v>
      </c>
      <c r="K541" t="s">
        <v>796</v>
      </c>
      <c r="L541" t="s">
        <v>1411</v>
      </c>
      <c r="M541" t="s">
        <v>952</v>
      </c>
      <c r="N541" t="s">
        <v>1395</v>
      </c>
      <c r="O541" t="s">
        <v>1396</v>
      </c>
    </row>
    <row r="542" spans="1:15" x14ac:dyDescent="0.35">
      <c r="A542" t="s">
        <v>2339</v>
      </c>
      <c r="B542" t="s">
        <v>2340</v>
      </c>
      <c r="C542" t="s">
        <v>1409</v>
      </c>
      <c r="D542" t="s">
        <v>932</v>
      </c>
      <c r="E542">
        <v>250</v>
      </c>
      <c r="F542" t="s">
        <v>1006</v>
      </c>
      <c r="G542">
        <v>2026</v>
      </c>
      <c r="H542" t="s">
        <v>1409</v>
      </c>
      <c r="I542" t="s">
        <v>1410</v>
      </c>
      <c r="J542" t="s">
        <v>1394</v>
      </c>
      <c r="K542" t="s">
        <v>796</v>
      </c>
      <c r="L542" t="s">
        <v>1411</v>
      </c>
      <c r="M542" t="s">
        <v>952</v>
      </c>
      <c r="N542" t="s">
        <v>1398</v>
      </c>
      <c r="O542" t="s">
        <v>1418</v>
      </c>
    </row>
    <row r="543" spans="1:15" x14ac:dyDescent="0.35">
      <c r="A543" t="s">
        <v>2341</v>
      </c>
      <c r="B543" t="s">
        <v>2342</v>
      </c>
      <c r="C543" t="s">
        <v>1409</v>
      </c>
      <c r="D543" t="s">
        <v>932</v>
      </c>
      <c r="E543">
        <v>250</v>
      </c>
      <c r="F543" t="s">
        <v>942</v>
      </c>
      <c r="G543">
        <v>2026</v>
      </c>
      <c r="H543" t="s">
        <v>1409</v>
      </c>
      <c r="I543" t="s">
        <v>1410</v>
      </c>
      <c r="J543" t="s">
        <v>1394</v>
      </c>
      <c r="K543" t="s">
        <v>796</v>
      </c>
      <c r="L543" t="s">
        <v>1411</v>
      </c>
      <c r="M543" t="s">
        <v>952</v>
      </c>
      <c r="N543" t="s">
        <v>1404</v>
      </c>
      <c r="O543" t="s">
        <v>1405</v>
      </c>
    </row>
    <row r="544" spans="1:15" x14ac:dyDescent="0.35">
      <c r="A544" t="s">
        <v>270</v>
      </c>
      <c r="B544" t="s">
        <v>2338</v>
      </c>
      <c r="C544" t="s">
        <v>1409</v>
      </c>
      <c r="D544" t="s">
        <v>932</v>
      </c>
      <c r="E544">
        <v>250</v>
      </c>
      <c r="F544" t="s">
        <v>958</v>
      </c>
      <c r="G544">
        <v>2026</v>
      </c>
      <c r="H544" t="s">
        <v>1409</v>
      </c>
      <c r="I544" t="s">
        <v>1410</v>
      </c>
      <c r="J544" t="s">
        <v>1394</v>
      </c>
      <c r="K544" t="s">
        <v>796</v>
      </c>
      <c r="L544" t="s">
        <v>1411</v>
      </c>
      <c r="M544" t="s">
        <v>918</v>
      </c>
      <c r="N544" t="s">
        <v>1395</v>
      </c>
      <c r="O544" t="s">
        <v>1396</v>
      </c>
    </row>
    <row r="545" spans="1:15" x14ac:dyDescent="0.35">
      <c r="A545" t="s">
        <v>360</v>
      </c>
      <c r="B545" t="s">
        <v>2340</v>
      </c>
      <c r="C545" t="s">
        <v>1409</v>
      </c>
      <c r="D545" t="s">
        <v>932</v>
      </c>
      <c r="E545">
        <v>250</v>
      </c>
      <c r="F545" t="s">
        <v>1006</v>
      </c>
      <c r="G545">
        <v>2026</v>
      </c>
      <c r="H545" t="s">
        <v>1409</v>
      </c>
      <c r="I545" t="s">
        <v>1410</v>
      </c>
      <c r="J545" t="s">
        <v>1394</v>
      </c>
      <c r="K545" t="s">
        <v>796</v>
      </c>
      <c r="L545" t="s">
        <v>1411</v>
      </c>
      <c r="M545" t="s">
        <v>918</v>
      </c>
      <c r="N545" t="s">
        <v>1398</v>
      </c>
      <c r="O545" t="s">
        <v>1418</v>
      </c>
    </row>
    <row r="546" spans="1:15" x14ac:dyDescent="0.35">
      <c r="A546" t="s">
        <v>407</v>
      </c>
      <c r="B546" t="s">
        <v>2342</v>
      </c>
      <c r="C546" t="s">
        <v>1409</v>
      </c>
      <c r="D546" t="s">
        <v>932</v>
      </c>
      <c r="E546">
        <v>250</v>
      </c>
      <c r="F546" t="s">
        <v>942</v>
      </c>
      <c r="G546">
        <v>2026</v>
      </c>
      <c r="H546" t="s">
        <v>1409</v>
      </c>
      <c r="I546" t="s">
        <v>1410</v>
      </c>
      <c r="J546" t="s">
        <v>1394</v>
      </c>
      <c r="K546" t="s">
        <v>796</v>
      </c>
      <c r="L546" t="s">
        <v>1411</v>
      </c>
      <c r="M546" t="s">
        <v>918</v>
      </c>
      <c r="N546" t="s">
        <v>1404</v>
      </c>
      <c r="O546" t="s">
        <v>1405</v>
      </c>
    </row>
    <row r="547" spans="1:15" x14ac:dyDescent="0.35">
      <c r="A547" t="s">
        <v>2435</v>
      </c>
      <c r="B547" t="s">
        <v>2338</v>
      </c>
      <c r="C547" t="s">
        <v>1409</v>
      </c>
      <c r="D547" t="s">
        <v>932</v>
      </c>
      <c r="E547">
        <v>250</v>
      </c>
      <c r="F547" t="s">
        <v>958</v>
      </c>
      <c r="G547">
        <v>2026</v>
      </c>
      <c r="H547" t="s">
        <v>1409</v>
      </c>
      <c r="I547" t="s">
        <v>1410</v>
      </c>
      <c r="J547" t="s">
        <v>1394</v>
      </c>
      <c r="K547" t="s">
        <v>796</v>
      </c>
      <c r="L547" t="s">
        <v>1411</v>
      </c>
      <c r="M547" t="s">
        <v>969</v>
      </c>
      <c r="N547" t="s">
        <v>1395</v>
      </c>
      <c r="O547" t="s">
        <v>1396</v>
      </c>
    </row>
    <row r="548" spans="1:15" x14ac:dyDescent="0.35">
      <c r="A548" t="s">
        <v>2436</v>
      </c>
      <c r="B548" t="s">
        <v>2340</v>
      </c>
      <c r="C548" t="s">
        <v>1409</v>
      </c>
      <c r="D548" t="s">
        <v>932</v>
      </c>
      <c r="E548">
        <v>250</v>
      </c>
      <c r="F548" t="s">
        <v>1006</v>
      </c>
      <c r="G548">
        <v>2026</v>
      </c>
      <c r="H548" t="s">
        <v>1409</v>
      </c>
      <c r="I548" t="s">
        <v>1410</v>
      </c>
      <c r="J548" t="s">
        <v>1394</v>
      </c>
      <c r="K548" t="s">
        <v>796</v>
      </c>
      <c r="L548" t="s">
        <v>1411</v>
      </c>
      <c r="M548" t="s">
        <v>969</v>
      </c>
      <c r="N548" t="s">
        <v>1398</v>
      </c>
      <c r="O548" t="s">
        <v>1418</v>
      </c>
    </row>
    <row r="549" spans="1:15" x14ac:dyDescent="0.35">
      <c r="A549" t="s">
        <v>2437</v>
      </c>
      <c r="B549" t="s">
        <v>2342</v>
      </c>
      <c r="C549" t="s">
        <v>1409</v>
      </c>
      <c r="D549" t="s">
        <v>932</v>
      </c>
      <c r="E549">
        <v>250</v>
      </c>
      <c r="F549" t="s">
        <v>942</v>
      </c>
      <c r="G549">
        <v>2026</v>
      </c>
      <c r="H549" t="s">
        <v>1409</v>
      </c>
      <c r="I549" t="s">
        <v>1410</v>
      </c>
      <c r="J549" t="s">
        <v>1394</v>
      </c>
      <c r="K549" t="s">
        <v>796</v>
      </c>
      <c r="L549" t="s">
        <v>1411</v>
      </c>
      <c r="M549" t="s">
        <v>969</v>
      </c>
      <c r="N549" t="s">
        <v>1404</v>
      </c>
      <c r="O549" t="s">
        <v>1405</v>
      </c>
    </row>
    <row r="550" spans="1:15" x14ac:dyDescent="0.35">
      <c r="A550" t="s">
        <v>664</v>
      </c>
      <c r="B550" t="s">
        <v>1393</v>
      </c>
      <c r="C550" t="s">
        <v>796</v>
      </c>
      <c r="D550" t="s">
        <v>932</v>
      </c>
      <c r="E550">
        <v>250</v>
      </c>
      <c r="F550" t="s">
        <v>958</v>
      </c>
      <c r="G550">
        <v>2025</v>
      </c>
      <c r="H550" t="s">
        <v>796</v>
      </c>
      <c r="I550" t="s">
        <v>796</v>
      </c>
      <c r="J550" t="s">
        <v>1394</v>
      </c>
      <c r="K550" t="s">
        <v>796</v>
      </c>
      <c r="L550" t="s">
        <v>796</v>
      </c>
      <c r="M550" t="s">
        <v>952</v>
      </c>
      <c r="N550" t="s">
        <v>1395</v>
      </c>
      <c r="O550" t="s">
        <v>1396</v>
      </c>
    </row>
    <row r="551" spans="1:15" x14ac:dyDescent="0.35">
      <c r="A551" t="s">
        <v>661</v>
      </c>
      <c r="B551" t="s">
        <v>1397</v>
      </c>
      <c r="C551" t="s">
        <v>796</v>
      </c>
      <c r="D551" t="s">
        <v>932</v>
      </c>
      <c r="E551">
        <v>250</v>
      </c>
      <c r="F551" t="s">
        <v>1006</v>
      </c>
      <c r="G551">
        <v>2025</v>
      </c>
      <c r="H551" t="s">
        <v>796</v>
      </c>
      <c r="I551" t="s">
        <v>796</v>
      </c>
      <c r="J551" t="s">
        <v>1394</v>
      </c>
      <c r="K551" t="s">
        <v>796</v>
      </c>
      <c r="L551" t="s">
        <v>796</v>
      </c>
      <c r="M551" t="s">
        <v>952</v>
      </c>
      <c r="N551" t="s">
        <v>1398</v>
      </c>
      <c r="O551" t="s">
        <v>1399</v>
      </c>
    </row>
    <row r="552" spans="1:15" x14ac:dyDescent="0.35">
      <c r="A552" t="s">
        <v>359</v>
      </c>
      <c r="B552" t="s">
        <v>1400</v>
      </c>
      <c r="C552" t="s">
        <v>796</v>
      </c>
      <c r="D552" t="s">
        <v>932</v>
      </c>
      <c r="E552">
        <v>250</v>
      </c>
      <c r="F552" t="s">
        <v>958</v>
      </c>
      <c r="G552">
        <v>2025</v>
      </c>
      <c r="H552" t="s">
        <v>796</v>
      </c>
      <c r="I552" t="s">
        <v>796</v>
      </c>
      <c r="J552" t="s">
        <v>1394</v>
      </c>
      <c r="K552" t="s">
        <v>796</v>
      </c>
      <c r="L552" t="s">
        <v>796</v>
      </c>
      <c r="M552" t="s">
        <v>918</v>
      </c>
      <c r="N552" t="s">
        <v>1395</v>
      </c>
      <c r="O552" t="s">
        <v>1396</v>
      </c>
    </row>
    <row r="553" spans="1:15" x14ac:dyDescent="0.35">
      <c r="A553" t="s">
        <v>272</v>
      </c>
      <c r="B553" t="s">
        <v>1401</v>
      </c>
      <c r="C553" t="s">
        <v>796</v>
      </c>
      <c r="D553" t="s">
        <v>932</v>
      </c>
      <c r="E553">
        <v>250</v>
      </c>
      <c r="F553" t="s">
        <v>1006</v>
      </c>
      <c r="G553">
        <v>2025</v>
      </c>
      <c r="H553" t="s">
        <v>796</v>
      </c>
      <c r="I553" t="s">
        <v>796</v>
      </c>
      <c r="J553" t="s">
        <v>1394</v>
      </c>
      <c r="K553" t="s">
        <v>796</v>
      </c>
      <c r="L553" t="s">
        <v>796</v>
      </c>
      <c r="M553" t="s">
        <v>918</v>
      </c>
      <c r="N553" t="s">
        <v>1398</v>
      </c>
      <c r="O553" t="s">
        <v>1399</v>
      </c>
    </row>
    <row r="554" spans="1:15" x14ac:dyDescent="0.35">
      <c r="A554" t="s">
        <v>1402</v>
      </c>
      <c r="B554" t="s">
        <v>1403</v>
      </c>
      <c r="C554" t="s">
        <v>796</v>
      </c>
      <c r="D554" t="s">
        <v>932</v>
      </c>
      <c r="E554">
        <v>250</v>
      </c>
      <c r="F554" t="s">
        <v>942</v>
      </c>
      <c r="G554">
        <v>2025</v>
      </c>
      <c r="H554" t="s">
        <v>796</v>
      </c>
      <c r="I554" t="s">
        <v>796</v>
      </c>
      <c r="J554" t="s">
        <v>1394</v>
      </c>
      <c r="K554" t="s">
        <v>796</v>
      </c>
      <c r="L554" t="s">
        <v>796</v>
      </c>
      <c r="M554" t="s">
        <v>952</v>
      </c>
      <c r="N554" t="s">
        <v>1404</v>
      </c>
      <c r="O554" t="s">
        <v>1405</v>
      </c>
    </row>
    <row r="555" spans="1:15" x14ac:dyDescent="0.35">
      <c r="A555" t="s">
        <v>406</v>
      </c>
      <c r="B555" t="s">
        <v>1406</v>
      </c>
      <c r="C555" t="s">
        <v>796</v>
      </c>
      <c r="D555" t="s">
        <v>932</v>
      </c>
      <c r="E555">
        <v>250</v>
      </c>
      <c r="F555" t="s">
        <v>942</v>
      </c>
      <c r="G555">
        <v>2025</v>
      </c>
      <c r="H555" t="s">
        <v>796</v>
      </c>
      <c r="I555" t="s">
        <v>796</v>
      </c>
      <c r="J555" t="s">
        <v>1394</v>
      </c>
      <c r="K555" t="s">
        <v>796</v>
      </c>
      <c r="L555" t="s">
        <v>796</v>
      </c>
      <c r="M555" t="s">
        <v>918</v>
      </c>
      <c r="N555" t="s">
        <v>1404</v>
      </c>
      <c r="O555" t="s">
        <v>1405</v>
      </c>
    </row>
    <row r="556" spans="1:15" x14ac:dyDescent="0.35">
      <c r="A556" t="s">
        <v>1443</v>
      </c>
      <c r="B556" t="s">
        <v>1444</v>
      </c>
      <c r="C556" t="s">
        <v>796</v>
      </c>
      <c r="D556" t="s">
        <v>932</v>
      </c>
      <c r="E556">
        <v>250</v>
      </c>
      <c r="F556" t="s">
        <v>958</v>
      </c>
      <c r="G556">
        <v>2025</v>
      </c>
      <c r="H556" t="s">
        <v>796</v>
      </c>
      <c r="I556" t="s">
        <v>796</v>
      </c>
      <c r="J556" t="s">
        <v>1394</v>
      </c>
      <c r="K556" t="s">
        <v>796</v>
      </c>
      <c r="L556" t="s">
        <v>796</v>
      </c>
      <c r="M556" t="s">
        <v>920</v>
      </c>
      <c r="N556" t="s">
        <v>1395</v>
      </c>
      <c r="O556" t="s">
        <v>1396</v>
      </c>
    </row>
    <row r="557" spans="1:15" x14ac:dyDescent="0.35">
      <c r="A557" t="s">
        <v>1445</v>
      </c>
      <c r="B557" t="s">
        <v>1446</v>
      </c>
      <c r="C557" t="s">
        <v>796</v>
      </c>
      <c r="D557" t="s">
        <v>932</v>
      </c>
      <c r="E557">
        <v>250</v>
      </c>
      <c r="F557" t="s">
        <v>942</v>
      </c>
      <c r="G557">
        <v>2025</v>
      </c>
      <c r="H557" t="s">
        <v>796</v>
      </c>
      <c r="I557" t="s">
        <v>796</v>
      </c>
      <c r="J557" t="s">
        <v>1394</v>
      </c>
      <c r="K557" t="s">
        <v>796</v>
      </c>
      <c r="L557" t="s">
        <v>796</v>
      </c>
      <c r="M557" t="s">
        <v>920</v>
      </c>
      <c r="N557" t="s">
        <v>1404</v>
      </c>
      <c r="O557" t="s">
        <v>1405</v>
      </c>
    </row>
    <row r="558" spans="1:15" x14ac:dyDescent="0.35">
      <c r="A558" t="s">
        <v>1447</v>
      </c>
      <c r="B558" t="s">
        <v>1448</v>
      </c>
      <c r="C558" t="s">
        <v>796</v>
      </c>
      <c r="D558" t="s">
        <v>932</v>
      </c>
      <c r="E558">
        <v>250</v>
      </c>
      <c r="F558" t="s">
        <v>1006</v>
      </c>
      <c r="G558">
        <v>2025</v>
      </c>
      <c r="H558" t="s">
        <v>796</v>
      </c>
      <c r="I558" t="s">
        <v>796</v>
      </c>
      <c r="J558" t="s">
        <v>1394</v>
      </c>
      <c r="K558" t="s">
        <v>796</v>
      </c>
      <c r="L558" t="s">
        <v>796</v>
      </c>
      <c r="M558" t="s">
        <v>920</v>
      </c>
      <c r="N558" t="s">
        <v>1398</v>
      </c>
      <c r="O558" t="s">
        <v>1399</v>
      </c>
    </row>
    <row r="559" spans="1:15" x14ac:dyDescent="0.35">
      <c r="A559" t="s">
        <v>1449</v>
      </c>
      <c r="B559" t="s">
        <v>1450</v>
      </c>
      <c r="C559" t="s">
        <v>796</v>
      </c>
      <c r="D559" t="s">
        <v>932</v>
      </c>
      <c r="E559">
        <v>250</v>
      </c>
      <c r="F559" t="s">
        <v>1006</v>
      </c>
      <c r="G559">
        <v>2025</v>
      </c>
      <c r="H559" t="s">
        <v>796</v>
      </c>
      <c r="I559" t="s">
        <v>796</v>
      </c>
      <c r="J559" t="s">
        <v>1394</v>
      </c>
      <c r="K559" t="s">
        <v>796</v>
      </c>
      <c r="L559" t="s">
        <v>796</v>
      </c>
      <c r="M559" t="s">
        <v>969</v>
      </c>
      <c r="N559" t="s">
        <v>1398</v>
      </c>
      <c r="O559" t="s">
        <v>1399</v>
      </c>
    </row>
    <row r="560" spans="1:15" x14ac:dyDescent="0.35">
      <c r="A560" t="s">
        <v>1451</v>
      </c>
      <c r="B560" t="s">
        <v>1452</v>
      </c>
      <c r="C560" t="s">
        <v>796</v>
      </c>
      <c r="D560" t="s">
        <v>932</v>
      </c>
      <c r="E560">
        <v>250</v>
      </c>
      <c r="F560" t="s">
        <v>958</v>
      </c>
      <c r="G560">
        <v>2025</v>
      </c>
      <c r="H560" t="s">
        <v>796</v>
      </c>
      <c r="I560" t="s">
        <v>796</v>
      </c>
      <c r="J560" t="s">
        <v>1394</v>
      </c>
      <c r="K560" t="s">
        <v>796</v>
      </c>
      <c r="L560" t="s">
        <v>796</v>
      </c>
      <c r="M560" t="s">
        <v>969</v>
      </c>
      <c r="N560" t="s">
        <v>1395</v>
      </c>
      <c r="O560" t="s">
        <v>1396</v>
      </c>
    </row>
    <row r="561" spans="1:15" x14ac:dyDescent="0.35">
      <c r="A561" t="s">
        <v>2470</v>
      </c>
      <c r="B561" t="s">
        <v>2471</v>
      </c>
      <c r="C561" t="s">
        <v>796</v>
      </c>
      <c r="D561" t="s">
        <v>932</v>
      </c>
      <c r="E561">
        <v>250</v>
      </c>
      <c r="F561" t="s">
        <v>942</v>
      </c>
      <c r="G561">
        <v>2025</v>
      </c>
      <c r="H561" t="s">
        <v>796</v>
      </c>
      <c r="I561" t="s">
        <v>796</v>
      </c>
      <c r="J561" t="s">
        <v>1394</v>
      </c>
      <c r="K561" t="s">
        <v>796</v>
      </c>
      <c r="L561" t="s">
        <v>796</v>
      </c>
      <c r="M561" t="s">
        <v>969</v>
      </c>
      <c r="N561" t="s">
        <v>1404</v>
      </c>
      <c r="O561" t="s">
        <v>1405</v>
      </c>
    </row>
    <row r="562" spans="1:15" x14ac:dyDescent="0.35">
      <c r="A562" t="s">
        <v>2516</v>
      </c>
      <c r="B562" t="s">
        <v>633</v>
      </c>
      <c r="C562" t="s">
        <v>796</v>
      </c>
      <c r="D562" t="s">
        <v>932</v>
      </c>
      <c r="E562">
        <v>250</v>
      </c>
      <c r="F562" t="s">
        <v>917</v>
      </c>
      <c r="G562">
        <v>2025</v>
      </c>
      <c r="H562" t="s">
        <v>796</v>
      </c>
      <c r="I562" t="s">
        <v>796</v>
      </c>
      <c r="J562" t="s">
        <v>1394</v>
      </c>
      <c r="K562" t="s">
        <v>796</v>
      </c>
      <c r="L562" t="s">
        <v>796</v>
      </c>
      <c r="M562" t="s">
        <v>952</v>
      </c>
      <c r="N562" t="s">
        <v>2517</v>
      </c>
      <c r="O562" t="s">
        <v>922</v>
      </c>
    </row>
    <row r="563" spans="1:15" x14ac:dyDescent="0.35">
      <c r="A563" t="s">
        <v>683</v>
      </c>
      <c r="B563" t="s">
        <v>633</v>
      </c>
      <c r="C563" t="s">
        <v>796</v>
      </c>
      <c r="D563" t="s">
        <v>932</v>
      </c>
      <c r="E563">
        <v>250</v>
      </c>
      <c r="F563" t="s">
        <v>917</v>
      </c>
      <c r="G563">
        <v>2025</v>
      </c>
      <c r="H563" t="s">
        <v>796</v>
      </c>
      <c r="I563" t="s">
        <v>796</v>
      </c>
      <c r="J563" t="s">
        <v>1394</v>
      </c>
      <c r="K563" t="s">
        <v>796</v>
      </c>
      <c r="L563" t="s">
        <v>796</v>
      </c>
      <c r="M563" t="s">
        <v>918</v>
      </c>
      <c r="N563" t="s">
        <v>2517</v>
      </c>
      <c r="O563" t="s">
        <v>922</v>
      </c>
    </row>
    <row r="564" spans="1:15" x14ac:dyDescent="0.35">
      <c r="A564" t="s">
        <v>1353</v>
      </c>
      <c r="B564" t="s">
        <v>1354</v>
      </c>
      <c r="C564" t="s">
        <v>1355</v>
      </c>
      <c r="D564" t="s">
        <v>932</v>
      </c>
      <c r="E564">
        <v>125</v>
      </c>
      <c r="F564" t="s">
        <v>951</v>
      </c>
      <c r="G564">
        <v>2025</v>
      </c>
      <c r="H564" t="s">
        <v>1355</v>
      </c>
      <c r="I564" t="s">
        <v>1355</v>
      </c>
      <c r="J564" t="s">
        <v>1356</v>
      </c>
      <c r="K564" t="s">
        <v>1355</v>
      </c>
      <c r="L564" t="s">
        <v>1357</v>
      </c>
      <c r="M564" t="s">
        <v>920</v>
      </c>
      <c r="N564" t="s">
        <v>1358</v>
      </c>
      <c r="O564" t="s">
        <v>1359</v>
      </c>
    </row>
    <row r="565" spans="1:15" x14ac:dyDescent="0.35">
      <c r="A565" t="s">
        <v>1360</v>
      </c>
      <c r="B565" t="s">
        <v>1361</v>
      </c>
      <c r="C565" t="s">
        <v>1355</v>
      </c>
      <c r="D565" t="s">
        <v>932</v>
      </c>
      <c r="E565">
        <v>125</v>
      </c>
      <c r="F565" t="s">
        <v>933</v>
      </c>
      <c r="G565">
        <v>2025</v>
      </c>
      <c r="H565" t="s">
        <v>1355</v>
      </c>
      <c r="I565" t="s">
        <v>1355</v>
      </c>
      <c r="J565" t="s">
        <v>1356</v>
      </c>
      <c r="K565" t="s">
        <v>1355</v>
      </c>
      <c r="L565" t="s">
        <v>1357</v>
      </c>
      <c r="M565" t="s">
        <v>920</v>
      </c>
      <c r="N565" t="s">
        <v>1362</v>
      </c>
      <c r="O565" t="s">
        <v>1363</v>
      </c>
    </row>
    <row r="566" spans="1:15" x14ac:dyDescent="0.35">
      <c r="A566" t="s">
        <v>1364</v>
      </c>
      <c r="B566" t="s">
        <v>1365</v>
      </c>
      <c r="C566" t="s">
        <v>1355</v>
      </c>
      <c r="D566" t="s">
        <v>932</v>
      </c>
      <c r="E566">
        <v>125</v>
      </c>
      <c r="F566" t="s">
        <v>1366</v>
      </c>
      <c r="G566">
        <v>2025</v>
      </c>
      <c r="H566" t="s">
        <v>1355</v>
      </c>
      <c r="I566" t="s">
        <v>1355</v>
      </c>
      <c r="J566" t="s">
        <v>1356</v>
      </c>
      <c r="K566" t="s">
        <v>1355</v>
      </c>
      <c r="L566" t="s">
        <v>1357</v>
      </c>
      <c r="M566" t="s">
        <v>920</v>
      </c>
      <c r="N566" t="s">
        <v>1367</v>
      </c>
      <c r="O566" t="s">
        <v>1368</v>
      </c>
    </row>
    <row r="567" spans="1:15" x14ac:dyDescent="0.35">
      <c r="A567" t="s">
        <v>1369</v>
      </c>
      <c r="B567" t="s">
        <v>1370</v>
      </c>
      <c r="C567" t="s">
        <v>1355</v>
      </c>
      <c r="D567" t="s">
        <v>932</v>
      </c>
      <c r="E567">
        <v>125</v>
      </c>
      <c r="F567" t="s">
        <v>951</v>
      </c>
      <c r="G567">
        <v>2024</v>
      </c>
      <c r="H567" t="s">
        <v>1355</v>
      </c>
      <c r="I567" t="s">
        <v>1355</v>
      </c>
      <c r="J567" t="s">
        <v>1356</v>
      </c>
      <c r="K567" t="s">
        <v>1355</v>
      </c>
      <c r="L567" t="s">
        <v>1357</v>
      </c>
      <c r="M567" t="s">
        <v>952</v>
      </c>
      <c r="N567" t="s">
        <v>1358</v>
      </c>
      <c r="O567" t="s">
        <v>922</v>
      </c>
    </row>
    <row r="568" spans="1:15" x14ac:dyDescent="0.35">
      <c r="A568" t="s">
        <v>1371</v>
      </c>
      <c r="B568" t="s">
        <v>1372</v>
      </c>
      <c r="C568" t="s">
        <v>1355</v>
      </c>
      <c r="D568" t="s">
        <v>932</v>
      </c>
      <c r="E568">
        <v>125</v>
      </c>
      <c r="F568" t="s">
        <v>951</v>
      </c>
      <c r="G568">
        <v>2025</v>
      </c>
      <c r="H568" t="s">
        <v>1355</v>
      </c>
      <c r="I568" t="s">
        <v>1355</v>
      </c>
      <c r="J568" t="s">
        <v>1356</v>
      </c>
      <c r="K568" t="s">
        <v>1355</v>
      </c>
      <c r="L568" t="s">
        <v>1357</v>
      </c>
      <c r="M568" t="s">
        <v>952</v>
      </c>
      <c r="N568" t="s">
        <v>1358</v>
      </c>
      <c r="O568" t="s">
        <v>1359</v>
      </c>
    </row>
    <row r="569" spans="1:15" x14ac:dyDescent="0.35">
      <c r="A569" t="s">
        <v>1373</v>
      </c>
      <c r="B569" t="s">
        <v>1374</v>
      </c>
      <c r="C569" t="s">
        <v>1355</v>
      </c>
      <c r="D569" t="s">
        <v>932</v>
      </c>
      <c r="E569">
        <v>125</v>
      </c>
      <c r="F569" t="s">
        <v>951</v>
      </c>
      <c r="G569">
        <v>2025</v>
      </c>
      <c r="H569" t="s">
        <v>1355</v>
      </c>
      <c r="I569" t="s">
        <v>1355</v>
      </c>
      <c r="J569" t="s">
        <v>1356</v>
      </c>
      <c r="K569" t="s">
        <v>1355</v>
      </c>
      <c r="L569" t="s">
        <v>1357</v>
      </c>
      <c r="M569" t="s">
        <v>969</v>
      </c>
      <c r="N569" t="s">
        <v>1358</v>
      </c>
      <c r="O569" t="s">
        <v>1359</v>
      </c>
    </row>
    <row r="570" spans="1:15" x14ac:dyDescent="0.35">
      <c r="A570" t="s">
        <v>369</v>
      </c>
      <c r="B570" t="s">
        <v>112</v>
      </c>
      <c r="C570" t="s">
        <v>1355</v>
      </c>
      <c r="D570" t="s">
        <v>932</v>
      </c>
      <c r="E570">
        <v>125</v>
      </c>
      <c r="F570" t="s">
        <v>951</v>
      </c>
      <c r="G570">
        <v>2025</v>
      </c>
      <c r="H570" t="s">
        <v>1355</v>
      </c>
      <c r="I570" t="s">
        <v>1355</v>
      </c>
      <c r="J570" t="s">
        <v>1356</v>
      </c>
      <c r="K570" t="s">
        <v>1355</v>
      </c>
      <c r="L570" t="s">
        <v>1357</v>
      </c>
      <c r="M570" t="s">
        <v>918</v>
      </c>
      <c r="N570" t="s">
        <v>1358</v>
      </c>
      <c r="O570" t="s">
        <v>1359</v>
      </c>
    </row>
    <row r="571" spans="1:15" x14ac:dyDescent="0.35">
      <c r="A571" t="s">
        <v>1375</v>
      </c>
      <c r="B571" t="s">
        <v>1376</v>
      </c>
      <c r="C571" t="s">
        <v>1355</v>
      </c>
      <c r="D571" t="s">
        <v>932</v>
      </c>
      <c r="E571">
        <v>125</v>
      </c>
      <c r="F571" t="s">
        <v>933</v>
      </c>
      <c r="G571">
        <v>2024</v>
      </c>
      <c r="H571" t="s">
        <v>1355</v>
      </c>
      <c r="I571" t="s">
        <v>1355</v>
      </c>
      <c r="J571" t="s">
        <v>1356</v>
      </c>
      <c r="K571" t="s">
        <v>1355</v>
      </c>
      <c r="L571" t="s">
        <v>1357</v>
      </c>
      <c r="M571" t="s">
        <v>952</v>
      </c>
      <c r="N571" t="s">
        <v>1362</v>
      </c>
      <c r="O571" t="s">
        <v>922</v>
      </c>
    </row>
    <row r="572" spans="1:15" x14ac:dyDescent="0.35">
      <c r="A572" t="s">
        <v>289</v>
      </c>
      <c r="B572" t="s">
        <v>1377</v>
      </c>
      <c r="C572" t="s">
        <v>1355</v>
      </c>
      <c r="D572" t="s">
        <v>932</v>
      </c>
      <c r="E572">
        <v>125</v>
      </c>
      <c r="F572" t="s">
        <v>933</v>
      </c>
      <c r="G572">
        <v>2024</v>
      </c>
      <c r="H572" t="s">
        <v>1355</v>
      </c>
      <c r="I572" t="s">
        <v>1355</v>
      </c>
      <c r="J572" t="s">
        <v>1356</v>
      </c>
      <c r="K572" t="s">
        <v>1355</v>
      </c>
      <c r="L572" t="s">
        <v>1357</v>
      </c>
      <c r="M572" t="s">
        <v>918</v>
      </c>
      <c r="N572" t="s">
        <v>1362</v>
      </c>
      <c r="O572" t="s">
        <v>922</v>
      </c>
    </row>
    <row r="573" spans="1:15" x14ac:dyDescent="0.35">
      <c r="A573" t="s">
        <v>666</v>
      </c>
      <c r="B573" t="s">
        <v>1378</v>
      </c>
      <c r="C573" t="s">
        <v>1355</v>
      </c>
      <c r="D573" t="s">
        <v>932</v>
      </c>
      <c r="E573">
        <v>125</v>
      </c>
      <c r="F573" t="s">
        <v>933</v>
      </c>
      <c r="G573">
        <v>2025</v>
      </c>
      <c r="H573" t="s">
        <v>1355</v>
      </c>
      <c r="I573" t="s">
        <v>1355</v>
      </c>
      <c r="J573" t="s">
        <v>1356</v>
      </c>
      <c r="K573" t="s">
        <v>1355</v>
      </c>
      <c r="L573" t="s">
        <v>1357</v>
      </c>
      <c r="M573" t="s">
        <v>952</v>
      </c>
      <c r="N573" t="s">
        <v>1362</v>
      </c>
      <c r="O573" t="s">
        <v>1363</v>
      </c>
    </row>
    <row r="574" spans="1:15" x14ac:dyDescent="0.35">
      <c r="A574" t="s">
        <v>1379</v>
      </c>
      <c r="B574" t="s">
        <v>1380</v>
      </c>
      <c r="C574" t="s">
        <v>1355</v>
      </c>
      <c r="D574" t="s">
        <v>932</v>
      </c>
      <c r="E574">
        <v>125</v>
      </c>
      <c r="F574" t="s">
        <v>933</v>
      </c>
      <c r="G574">
        <v>2025</v>
      </c>
      <c r="H574" t="s">
        <v>1355</v>
      </c>
      <c r="I574" t="s">
        <v>1355</v>
      </c>
      <c r="J574" t="s">
        <v>1356</v>
      </c>
      <c r="K574" t="s">
        <v>1355</v>
      </c>
      <c r="L574" t="s">
        <v>1357</v>
      </c>
      <c r="M574" t="s">
        <v>969</v>
      </c>
      <c r="N574" t="s">
        <v>1362</v>
      </c>
      <c r="O574" t="s">
        <v>1363</v>
      </c>
    </row>
    <row r="575" spans="1:15" x14ac:dyDescent="0.35">
      <c r="A575" t="s">
        <v>265</v>
      </c>
      <c r="B575" t="s">
        <v>1381</v>
      </c>
      <c r="C575" t="s">
        <v>1355</v>
      </c>
      <c r="D575" t="s">
        <v>932</v>
      </c>
      <c r="E575">
        <v>125</v>
      </c>
      <c r="F575" t="s">
        <v>933</v>
      </c>
      <c r="G575">
        <v>2025</v>
      </c>
      <c r="H575" t="s">
        <v>1355</v>
      </c>
      <c r="I575" t="s">
        <v>1355</v>
      </c>
      <c r="J575" t="s">
        <v>1356</v>
      </c>
      <c r="K575" t="s">
        <v>1355</v>
      </c>
      <c r="L575" t="s">
        <v>1357</v>
      </c>
      <c r="M575" t="s">
        <v>918</v>
      </c>
      <c r="N575" t="s">
        <v>1362</v>
      </c>
      <c r="O575" t="s">
        <v>1363</v>
      </c>
    </row>
    <row r="576" spans="1:15" x14ac:dyDescent="0.35">
      <c r="A576" t="s">
        <v>1382</v>
      </c>
      <c r="B576" t="s">
        <v>1383</v>
      </c>
      <c r="C576" t="s">
        <v>1355</v>
      </c>
      <c r="D576" t="s">
        <v>932</v>
      </c>
      <c r="E576">
        <v>125</v>
      </c>
      <c r="F576" t="s">
        <v>1366</v>
      </c>
      <c r="G576">
        <v>2024</v>
      </c>
      <c r="H576" t="s">
        <v>1355</v>
      </c>
      <c r="I576" t="s">
        <v>1355</v>
      </c>
      <c r="J576" t="s">
        <v>1356</v>
      </c>
      <c r="K576" t="s">
        <v>1355</v>
      </c>
      <c r="L576" t="s">
        <v>1357</v>
      </c>
      <c r="M576" t="s">
        <v>952</v>
      </c>
      <c r="N576" t="s">
        <v>1367</v>
      </c>
      <c r="O576" t="s">
        <v>922</v>
      </c>
    </row>
    <row r="577" spans="1:15" x14ac:dyDescent="0.35">
      <c r="A577" t="s">
        <v>290</v>
      </c>
      <c r="B577" t="s">
        <v>1384</v>
      </c>
      <c r="C577" t="s">
        <v>1355</v>
      </c>
      <c r="D577" t="s">
        <v>932</v>
      </c>
      <c r="E577">
        <v>125</v>
      </c>
      <c r="F577" t="s">
        <v>1366</v>
      </c>
      <c r="G577">
        <v>2024</v>
      </c>
      <c r="H577" t="s">
        <v>1355</v>
      </c>
      <c r="I577" t="s">
        <v>1355</v>
      </c>
      <c r="J577" t="s">
        <v>1356</v>
      </c>
      <c r="K577" t="s">
        <v>1355</v>
      </c>
      <c r="L577" t="s">
        <v>1357</v>
      </c>
      <c r="M577" t="s">
        <v>918</v>
      </c>
      <c r="N577" t="s">
        <v>1367</v>
      </c>
      <c r="O577" t="s">
        <v>922</v>
      </c>
    </row>
    <row r="578" spans="1:15" x14ac:dyDescent="0.35">
      <c r="A578" t="s">
        <v>667</v>
      </c>
      <c r="B578" t="s">
        <v>1385</v>
      </c>
      <c r="C578" t="s">
        <v>1355</v>
      </c>
      <c r="D578" t="s">
        <v>932</v>
      </c>
      <c r="E578">
        <v>125</v>
      </c>
      <c r="F578" t="s">
        <v>1366</v>
      </c>
      <c r="G578">
        <v>2025</v>
      </c>
      <c r="H578" t="s">
        <v>1355</v>
      </c>
      <c r="I578" t="s">
        <v>1355</v>
      </c>
      <c r="J578" t="s">
        <v>1356</v>
      </c>
      <c r="K578" t="s">
        <v>1355</v>
      </c>
      <c r="L578" t="s">
        <v>1357</v>
      </c>
      <c r="M578" t="s">
        <v>952</v>
      </c>
      <c r="N578" t="s">
        <v>1367</v>
      </c>
      <c r="O578" t="s">
        <v>1368</v>
      </c>
    </row>
    <row r="579" spans="1:15" x14ac:dyDescent="0.35">
      <c r="A579" t="s">
        <v>1386</v>
      </c>
      <c r="B579" t="s">
        <v>1387</v>
      </c>
      <c r="C579" t="s">
        <v>1355</v>
      </c>
      <c r="D579" t="s">
        <v>932</v>
      </c>
      <c r="E579">
        <v>125</v>
      </c>
      <c r="F579" t="s">
        <v>1366</v>
      </c>
      <c r="G579">
        <v>2025</v>
      </c>
      <c r="H579" t="s">
        <v>1355</v>
      </c>
      <c r="I579" t="s">
        <v>1355</v>
      </c>
      <c r="J579" t="s">
        <v>1356</v>
      </c>
      <c r="K579" t="s">
        <v>1355</v>
      </c>
      <c r="L579" t="s">
        <v>1357</v>
      </c>
      <c r="M579" t="s">
        <v>969</v>
      </c>
      <c r="N579" t="s">
        <v>1367</v>
      </c>
      <c r="O579" t="s">
        <v>1368</v>
      </c>
    </row>
    <row r="580" spans="1:15" x14ac:dyDescent="0.35">
      <c r="A580" t="s">
        <v>269</v>
      </c>
      <c r="B580" t="s">
        <v>114</v>
      </c>
      <c r="C580" t="s">
        <v>1355</v>
      </c>
      <c r="D580" t="s">
        <v>932</v>
      </c>
      <c r="E580">
        <v>125</v>
      </c>
      <c r="F580" t="s">
        <v>1366</v>
      </c>
      <c r="G580">
        <v>2025</v>
      </c>
      <c r="H580" t="s">
        <v>1355</v>
      </c>
      <c r="I580" t="s">
        <v>1355</v>
      </c>
      <c r="J580" t="s">
        <v>1356</v>
      </c>
      <c r="K580" t="s">
        <v>1355</v>
      </c>
      <c r="L580" t="s">
        <v>1357</v>
      </c>
      <c r="M580" t="s">
        <v>918</v>
      </c>
      <c r="N580" t="s">
        <v>1367</v>
      </c>
      <c r="O580" t="s">
        <v>1368</v>
      </c>
    </row>
    <row r="581" spans="1:15" x14ac:dyDescent="0.35">
      <c r="A581" t="s">
        <v>1388</v>
      </c>
      <c r="B581" t="s">
        <v>1389</v>
      </c>
      <c r="C581" t="s">
        <v>1355</v>
      </c>
      <c r="D581" t="s">
        <v>932</v>
      </c>
      <c r="E581">
        <v>125</v>
      </c>
      <c r="F581" t="s">
        <v>933</v>
      </c>
      <c r="G581">
        <v>2024</v>
      </c>
      <c r="H581" t="s">
        <v>1355</v>
      </c>
      <c r="I581" t="s">
        <v>1355</v>
      </c>
      <c r="J581" t="s">
        <v>1356</v>
      </c>
      <c r="K581" t="s">
        <v>1355</v>
      </c>
      <c r="L581" t="s">
        <v>1357</v>
      </c>
      <c r="M581" t="s">
        <v>969</v>
      </c>
      <c r="N581" t="s">
        <v>1362</v>
      </c>
      <c r="O581" t="s">
        <v>922</v>
      </c>
    </row>
    <row r="582" spans="1:15" x14ac:dyDescent="0.35">
      <c r="A582" t="s">
        <v>1390</v>
      </c>
      <c r="B582" t="s">
        <v>1391</v>
      </c>
      <c r="C582" t="s">
        <v>1355</v>
      </c>
      <c r="D582" t="s">
        <v>932</v>
      </c>
      <c r="E582">
        <v>125</v>
      </c>
      <c r="F582" t="s">
        <v>1366</v>
      </c>
      <c r="G582">
        <v>2024</v>
      </c>
      <c r="H582" t="s">
        <v>1355</v>
      </c>
      <c r="I582" t="s">
        <v>1355</v>
      </c>
      <c r="J582" t="s">
        <v>1356</v>
      </c>
      <c r="K582" t="s">
        <v>1355</v>
      </c>
      <c r="L582" t="s">
        <v>1357</v>
      </c>
      <c r="M582" t="s">
        <v>969</v>
      </c>
      <c r="N582" t="s">
        <v>1367</v>
      </c>
      <c r="O582" t="s">
        <v>922</v>
      </c>
    </row>
    <row r="583" spans="1:15" x14ac:dyDescent="0.35">
      <c r="A583" t="s">
        <v>2225</v>
      </c>
      <c r="B583" t="s">
        <v>2226</v>
      </c>
      <c r="C583" t="s">
        <v>1355</v>
      </c>
      <c r="D583" t="s">
        <v>932</v>
      </c>
      <c r="E583">
        <v>125</v>
      </c>
      <c r="F583" t="s">
        <v>1366</v>
      </c>
      <c r="G583">
        <v>2026</v>
      </c>
      <c r="H583" t="s">
        <v>1355</v>
      </c>
      <c r="I583" t="s">
        <v>1355</v>
      </c>
      <c r="J583" t="s">
        <v>1356</v>
      </c>
      <c r="K583" t="s">
        <v>1355</v>
      </c>
      <c r="L583" t="s">
        <v>1357</v>
      </c>
      <c r="M583" t="s">
        <v>920</v>
      </c>
      <c r="N583" t="s">
        <v>1367</v>
      </c>
      <c r="O583" t="s">
        <v>1368</v>
      </c>
    </row>
    <row r="584" spans="1:15" x14ac:dyDescent="0.35">
      <c r="A584" t="s">
        <v>2227</v>
      </c>
      <c r="B584" t="s">
        <v>2228</v>
      </c>
      <c r="C584" t="s">
        <v>1355</v>
      </c>
      <c r="D584" t="s">
        <v>932</v>
      </c>
      <c r="E584">
        <v>125</v>
      </c>
      <c r="F584" t="s">
        <v>951</v>
      </c>
      <c r="G584">
        <v>2026</v>
      </c>
      <c r="H584" t="s">
        <v>1355</v>
      </c>
      <c r="I584" t="s">
        <v>1355</v>
      </c>
      <c r="J584" t="s">
        <v>1356</v>
      </c>
      <c r="K584" t="s">
        <v>1355</v>
      </c>
      <c r="L584" t="s">
        <v>1357</v>
      </c>
      <c r="M584" t="s">
        <v>920</v>
      </c>
      <c r="N584" t="s">
        <v>1358</v>
      </c>
      <c r="O584" t="s">
        <v>1359</v>
      </c>
    </row>
    <row r="585" spans="1:15" x14ac:dyDescent="0.35">
      <c r="A585" t="s">
        <v>2345</v>
      </c>
      <c r="B585" t="s">
        <v>2346</v>
      </c>
      <c r="C585" t="s">
        <v>1355</v>
      </c>
      <c r="D585" t="s">
        <v>932</v>
      </c>
      <c r="E585">
        <v>125</v>
      </c>
      <c r="F585" t="s">
        <v>1366</v>
      </c>
      <c r="G585">
        <v>2026</v>
      </c>
      <c r="H585" t="s">
        <v>1355</v>
      </c>
      <c r="I585" t="s">
        <v>1355</v>
      </c>
      <c r="J585" t="s">
        <v>1356</v>
      </c>
      <c r="K585" t="s">
        <v>1355</v>
      </c>
      <c r="L585" t="s">
        <v>1357</v>
      </c>
      <c r="M585" t="s">
        <v>952</v>
      </c>
      <c r="N585" t="s">
        <v>1367</v>
      </c>
      <c r="O585" t="s">
        <v>1368</v>
      </c>
    </row>
    <row r="586" spans="1:15" x14ac:dyDescent="0.35">
      <c r="A586" t="s">
        <v>2347</v>
      </c>
      <c r="B586" t="s">
        <v>2348</v>
      </c>
      <c r="C586" t="s">
        <v>1355</v>
      </c>
      <c r="D586" t="s">
        <v>932</v>
      </c>
      <c r="E586">
        <v>125</v>
      </c>
      <c r="F586" t="s">
        <v>951</v>
      </c>
      <c r="G586">
        <v>2026</v>
      </c>
      <c r="H586" t="s">
        <v>1355</v>
      </c>
      <c r="I586" t="s">
        <v>1355</v>
      </c>
      <c r="J586" t="s">
        <v>1356</v>
      </c>
      <c r="K586" t="s">
        <v>1355</v>
      </c>
      <c r="L586" t="s">
        <v>1357</v>
      </c>
      <c r="M586" t="s">
        <v>952</v>
      </c>
      <c r="N586" t="s">
        <v>1358</v>
      </c>
      <c r="O586" t="s">
        <v>1359</v>
      </c>
    </row>
    <row r="587" spans="1:15" x14ac:dyDescent="0.35">
      <c r="A587" t="s">
        <v>264</v>
      </c>
      <c r="B587" t="s">
        <v>2346</v>
      </c>
      <c r="C587" t="s">
        <v>1355</v>
      </c>
      <c r="D587" t="s">
        <v>932</v>
      </c>
      <c r="E587">
        <v>125</v>
      </c>
      <c r="F587" t="s">
        <v>1366</v>
      </c>
      <c r="G587">
        <v>2026</v>
      </c>
      <c r="H587" t="s">
        <v>1355</v>
      </c>
      <c r="I587" t="s">
        <v>1355</v>
      </c>
      <c r="J587" t="s">
        <v>1356</v>
      </c>
      <c r="K587" t="s">
        <v>1355</v>
      </c>
      <c r="L587" t="s">
        <v>1357</v>
      </c>
      <c r="M587" t="s">
        <v>918</v>
      </c>
      <c r="N587" t="s">
        <v>1367</v>
      </c>
      <c r="O587" t="s">
        <v>1368</v>
      </c>
    </row>
    <row r="588" spans="1:15" x14ac:dyDescent="0.35">
      <c r="A588" t="s">
        <v>2412</v>
      </c>
      <c r="B588" t="s">
        <v>2348</v>
      </c>
      <c r="C588" t="s">
        <v>1355</v>
      </c>
      <c r="D588" t="s">
        <v>932</v>
      </c>
      <c r="E588">
        <v>125</v>
      </c>
      <c r="F588" t="s">
        <v>951</v>
      </c>
      <c r="G588">
        <v>2026</v>
      </c>
      <c r="H588" t="s">
        <v>1355</v>
      </c>
      <c r="I588" t="s">
        <v>1355</v>
      </c>
      <c r="J588" t="s">
        <v>1356</v>
      </c>
      <c r="K588" t="s">
        <v>1355</v>
      </c>
      <c r="L588" t="s">
        <v>1357</v>
      </c>
      <c r="M588" t="s">
        <v>918</v>
      </c>
      <c r="N588" t="s">
        <v>1358</v>
      </c>
      <c r="O588" t="s">
        <v>1359</v>
      </c>
    </row>
    <row r="589" spans="1:15" x14ac:dyDescent="0.35">
      <c r="A589" t="s">
        <v>2439</v>
      </c>
      <c r="B589" t="s">
        <v>2346</v>
      </c>
      <c r="C589" t="s">
        <v>1355</v>
      </c>
      <c r="D589" t="s">
        <v>932</v>
      </c>
      <c r="E589">
        <v>125</v>
      </c>
      <c r="F589" t="s">
        <v>1366</v>
      </c>
      <c r="G589">
        <v>2026</v>
      </c>
      <c r="H589" t="s">
        <v>1355</v>
      </c>
      <c r="I589" t="s">
        <v>1355</v>
      </c>
      <c r="J589" t="s">
        <v>1356</v>
      </c>
      <c r="K589" t="s">
        <v>1355</v>
      </c>
      <c r="L589" t="s">
        <v>1357</v>
      </c>
      <c r="M589" t="s">
        <v>969</v>
      </c>
      <c r="N589" t="s">
        <v>1367</v>
      </c>
      <c r="O589" t="s">
        <v>1368</v>
      </c>
    </row>
    <row r="590" spans="1:15" x14ac:dyDescent="0.35">
      <c r="A590" t="s">
        <v>2440</v>
      </c>
      <c r="B590" t="s">
        <v>2348</v>
      </c>
      <c r="C590" t="s">
        <v>1355</v>
      </c>
      <c r="D590" t="s">
        <v>932</v>
      </c>
      <c r="E590">
        <v>125</v>
      </c>
      <c r="F590" t="s">
        <v>951</v>
      </c>
      <c r="G590">
        <v>2026</v>
      </c>
      <c r="H590" t="s">
        <v>1355</v>
      </c>
      <c r="I590" t="s">
        <v>1355</v>
      </c>
      <c r="J590" t="s">
        <v>1356</v>
      </c>
      <c r="K590" t="s">
        <v>1355</v>
      </c>
      <c r="L590" t="s">
        <v>1357</v>
      </c>
      <c r="M590" t="s">
        <v>969</v>
      </c>
      <c r="N590" t="s">
        <v>1358</v>
      </c>
      <c r="O590" t="s">
        <v>1359</v>
      </c>
    </row>
    <row r="591" spans="1:15" x14ac:dyDescent="0.35">
      <c r="A591" t="s">
        <v>2221</v>
      </c>
      <c r="B591" t="s">
        <v>2222</v>
      </c>
      <c r="C591" t="s">
        <v>2223</v>
      </c>
      <c r="D591" t="s">
        <v>932</v>
      </c>
      <c r="E591">
        <v>125</v>
      </c>
      <c r="F591" t="s">
        <v>933</v>
      </c>
      <c r="G591">
        <v>2026</v>
      </c>
      <c r="H591" t="s">
        <v>1355</v>
      </c>
      <c r="I591" t="s">
        <v>1355</v>
      </c>
      <c r="J591" t="s">
        <v>2224</v>
      </c>
      <c r="K591" t="s">
        <v>1355</v>
      </c>
      <c r="L591" t="s">
        <v>1357</v>
      </c>
      <c r="M591" t="s">
        <v>920</v>
      </c>
      <c r="N591" t="s">
        <v>1362</v>
      </c>
      <c r="O591" t="s">
        <v>1363</v>
      </c>
    </row>
    <row r="592" spans="1:15" x14ac:dyDescent="0.35">
      <c r="A592" t="s">
        <v>2343</v>
      </c>
      <c r="B592" t="s">
        <v>2344</v>
      </c>
      <c r="C592" t="s">
        <v>2223</v>
      </c>
      <c r="D592" t="s">
        <v>932</v>
      </c>
      <c r="E592">
        <v>125</v>
      </c>
      <c r="F592" t="s">
        <v>933</v>
      </c>
      <c r="G592">
        <v>2026</v>
      </c>
      <c r="H592" t="s">
        <v>1355</v>
      </c>
      <c r="I592" t="s">
        <v>1355</v>
      </c>
      <c r="J592" t="s">
        <v>2224</v>
      </c>
      <c r="K592" t="s">
        <v>1355</v>
      </c>
      <c r="L592" t="s">
        <v>1357</v>
      </c>
      <c r="M592" t="s">
        <v>952</v>
      </c>
      <c r="N592" t="s">
        <v>1362</v>
      </c>
      <c r="O592" t="s">
        <v>1363</v>
      </c>
    </row>
    <row r="593" spans="1:15" x14ac:dyDescent="0.35">
      <c r="A593" t="s">
        <v>387</v>
      </c>
      <c r="B593" t="s">
        <v>2344</v>
      </c>
      <c r="C593" t="s">
        <v>2223</v>
      </c>
      <c r="D593" t="s">
        <v>932</v>
      </c>
      <c r="E593">
        <v>125</v>
      </c>
      <c r="F593" t="s">
        <v>933</v>
      </c>
      <c r="G593">
        <v>2026</v>
      </c>
      <c r="H593" t="s">
        <v>1355</v>
      </c>
      <c r="I593" t="s">
        <v>1355</v>
      </c>
      <c r="J593" t="s">
        <v>2224</v>
      </c>
      <c r="K593" t="s">
        <v>1355</v>
      </c>
      <c r="L593" t="s">
        <v>1357</v>
      </c>
      <c r="M593" t="s">
        <v>918</v>
      </c>
      <c r="N593" t="s">
        <v>1362</v>
      </c>
      <c r="O593" t="s">
        <v>1363</v>
      </c>
    </row>
    <row r="594" spans="1:15" x14ac:dyDescent="0.35">
      <c r="A594" t="s">
        <v>2438</v>
      </c>
      <c r="B594" t="s">
        <v>2344</v>
      </c>
      <c r="C594" t="s">
        <v>2223</v>
      </c>
      <c r="D594" t="s">
        <v>932</v>
      </c>
      <c r="E594">
        <v>125</v>
      </c>
      <c r="F594" t="s">
        <v>933</v>
      </c>
      <c r="G594">
        <v>2026</v>
      </c>
      <c r="H594" t="s">
        <v>1355</v>
      </c>
      <c r="I594" t="s">
        <v>1355</v>
      </c>
      <c r="J594" t="s">
        <v>2224</v>
      </c>
      <c r="K594" t="s">
        <v>1355</v>
      </c>
      <c r="L594" t="s">
        <v>1357</v>
      </c>
      <c r="M594" t="s">
        <v>969</v>
      </c>
      <c r="N594" t="s">
        <v>1362</v>
      </c>
      <c r="O594" t="s">
        <v>1363</v>
      </c>
    </row>
    <row r="595" spans="1:15" x14ac:dyDescent="0.35">
      <c r="A595" t="s">
        <v>1198</v>
      </c>
      <c r="B595" t="s">
        <v>1199</v>
      </c>
      <c r="C595" t="s">
        <v>1200</v>
      </c>
      <c r="D595" t="s">
        <v>932</v>
      </c>
      <c r="E595">
        <v>160</v>
      </c>
      <c r="F595" t="s">
        <v>1201</v>
      </c>
      <c r="G595">
        <v>2021</v>
      </c>
      <c r="H595" t="s">
        <v>1202</v>
      </c>
      <c r="I595" t="s">
        <v>1203</v>
      </c>
      <c r="J595" t="s">
        <v>1204</v>
      </c>
      <c r="K595" t="s">
        <v>1202</v>
      </c>
      <c r="L595" t="s">
        <v>1205</v>
      </c>
      <c r="M595" t="s">
        <v>952</v>
      </c>
      <c r="N595" t="s">
        <v>1206</v>
      </c>
      <c r="O595" t="s">
        <v>922</v>
      </c>
    </row>
    <row r="596" spans="1:15" x14ac:dyDescent="0.35">
      <c r="A596" t="s">
        <v>1207</v>
      </c>
      <c r="B596" t="s">
        <v>1199</v>
      </c>
      <c r="C596" t="s">
        <v>1200</v>
      </c>
      <c r="D596" t="s">
        <v>932</v>
      </c>
      <c r="E596">
        <v>160</v>
      </c>
      <c r="F596" t="s">
        <v>933</v>
      </c>
      <c r="G596">
        <v>2021</v>
      </c>
      <c r="H596" t="s">
        <v>1202</v>
      </c>
      <c r="I596" t="s">
        <v>1203</v>
      </c>
      <c r="J596" t="s">
        <v>1204</v>
      </c>
      <c r="K596" t="s">
        <v>1202</v>
      </c>
      <c r="L596" t="s">
        <v>1205</v>
      </c>
      <c r="M596" t="s">
        <v>952</v>
      </c>
      <c r="N596" t="s">
        <v>1208</v>
      </c>
      <c r="O596" t="s">
        <v>922</v>
      </c>
    </row>
    <row r="597" spans="1:15" x14ac:dyDescent="0.35">
      <c r="A597" t="s">
        <v>1222</v>
      </c>
      <c r="B597" t="s">
        <v>1223</v>
      </c>
      <c r="C597" t="s">
        <v>1200</v>
      </c>
      <c r="D597" t="s">
        <v>932</v>
      </c>
      <c r="E597">
        <v>160</v>
      </c>
      <c r="F597" t="s">
        <v>917</v>
      </c>
      <c r="G597">
        <v>2019</v>
      </c>
      <c r="H597" t="s">
        <v>1202</v>
      </c>
      <c r="I597" t="s">
        <v>1203</v>
      </c>
      <c r="J597" t="s">
        <v>1204</v>
      </c>
      <c r="K597" t="s">
        <v>1202</v>
      </c>
      <c r="L597" t="s">
        <v>1205</v>
      </c>
      <c r="M597" t="s">
        <v>952</v>
      </c>
      <c r="N597" t="s">
        <v>1224</v>
      </c>
      <c r="O597" t="s">
        <v>922</v>
      </c>
    </row>
    <row r="598" spans="1:15" x14ac:dyDescent="0.35">
      <c r="A598" t="s">
        <v>1225</v>
      </c>
      <c r="B598" t="s">
        <v>1226</v>
      </c>
      <c r="C598" t="s">
        <v>1200</v>
      </c>
      <c r="D598" t="s">
        <v>932</v>
      </c>
      <c r="E598">
        <v>160</v>
      </c>
      <c r="F598" t="s">
        <v>917</v>
      </c>
      <c r="G598">
        <v>2019</v>
      </c>
      <c r="H598" t="s">
        <v>1202</v>
      </c>
      <c r="I598" t="s">
        <v>1203</v>
      </c>
      <c r="J598" t="s">
        <v>1204</v>
      </c>
      <c r="K598" t="s">
        <v>1202</v>
      </c>
      <c r="L598" t="s">
        <v>1205</v>
      </c>
      <c r="M598" t="s">
        <v>918</v>
      </c>
      <c r="N598" t="s">
        <v>1224</v>
      </c>
      <c r="O598" t="s">
        <v>922</v>
      </c>
    </row>
    <row r="599" spans="1:15" x14ac:dyDescent="0.35">
      <c r="A599" t="s">
        <v>1227</v>
      </c>
      <c r="B599" t="s">
        <v>1228</v>
      </c>
      <c r="C599" t="s">
        <v>1200</v>
      </c>
      <c r="D599" t="s">
        <v>932</v>
      </c>
      <c r="E599">
        <v>160</v>
      </c>
      <c r="F599" t="s">
        <v>958</v>
      </c>
      <c r="G599">
        <v>2019</v>
      </c>
      <c r="H599" t="s">
        <v>1202</v>
      </c>
      <c r="I599" t="s">
        <v>1203</v>
      </c>
      <c r="J599" t="s">
        <v>1204</v>
      </c>
      <c r="K599" t="s">
        <v>1202</v>
      </c>
      <c r="L599" t="s">
        <v>1205</v>
      </c>
      <c r="M599" t="s">
        <v>952</v>
      </c>
      <c r="N599" t="s">
        <v>1211</v>
      </c>
      <c r="O599" t="s">
        <v>922</v>
      </c>
    </row>
    <row r="600" spans="1:15" x14ac:dyDescent="0.35">
      <c r="A600" t="s">
        <v>837</v>
      </c>
      <c r="B600" t="s">
        <v>1229</v>
      </c>
      <c r="C600" t="s">
        <v>1200</v>
      </c>
      <c r="D600" t="s">
        <v>932</v>
      </c>
      <c r="E600">
        <v>160</v>
      </c>
      <c r="F600" t="s">
        <v>958</v>
      </c>
      <c r="G600">
        <v>2019</v>
      </c>
      <c r="H600" t="s">
        <v>1202</v>
      </c>
      <c r="I600" t="s">
        <v>1203</v>
      </c>
      <c r="J600" t="s">
        <v>1204</v>
      </c>
      <c r="K600" t="s">
        <v>1202</v>
      </c>
      <c r="L600" t="s">
        <v>1205</v>
      </c>
      <c r="M600" t="s">
        <v>918</v>
      </c>
      <c r="N600" t="s">
        <v>1211</v>
      </c>
      <c r="O600" t="s">
        <v>922</v>
      </c>
    </row>
    <row r="601" spans="1:15" x14ac:dyDescent="0.35">
      <c r="A601" t="s">
        <v>1230</v>
      </c>
      <c r="B601" t="s">
        <v>1231</v>
      </c>
      <c r="C601" t="s">
        <v>1200</v>
      </c>
      <c r="D601" t="s">
        <v>932</v>
      </c>
      <c r="E601">
        <v>160</v>
      </c>
      <c r="F601" t="s">
        <v>1006</v>
      </c>
      <c r="G601">
        <v>2019</v>
      </c>
      <c r="H601" t="s">
        <v>1202</v>
      </c>
      <c r="I601" t="s">
        <v>1203</v>
      </c>
      <c r="J601" t="s">
        <v>1204</v>
      </c>
      <c r="K601" t="s">
        <v>1202</v>
      </c>
      <c r="L601" t="s">
        <v>1205</v>
      </c>
      <c r="M601" t="s">
        <v>952</v>
      </c>
      <c r="N601" t="s">
        <v>1232</v>
      </c>
      <c r="O601" t="s">
        <v>922</v>
      </c>
    </row>
    <row r="602" spans="1:15" x14ac:dyDescent="0.35">
      <c r="A602" t="s">
        <v>839</v>
      </c>
      <c r="B602" t="s">
        <v>1233</v>
      </c>
      <c r="C602" t="s">
        <v>1200</v>
      </c>
      <c r="D602" t="s">
        <v>932</v>
      </c>
      <c r="E602">
        <v>160</v>
      </c>
      <c r="F602" t="s">
        <v>1006</v>
      </c>
      <c r="G602">
        <v>2019</v>
      </c>
      <c r="H602" t="s">
        <v>1202</v>
      </c>
      <c r="I602" t="s">
        <v>1203</v>
      </c>
      <c r="J602" t="s">
        <v>1204</v>
      </c>
      <c r="K602" t="s">
        <v>1202</v>
      </c>
      <c r="L602" t="s">
        <v>1205</v>
      </c>
      <c r="M602" t="s">
        <v>918</v>
      </c>
      <c r="N602" t="s">
        <v>1232</v>
      </c>
      <c r="O602" t="s">
        <v>922</v>
      </c>
    </row>
    <row r="603" spans="1:15" x14ac:dyDescent="0.35">
      <c r="A603" t="s">
        <v>1234</v>
      </c>
      <c r="B603" t="s">
        <v>1235</v>
      </c>
      <c r="C603" t="s">
        <v>1200</v>
      </c>
      <c r="D603" t="s">
        <v>932</v>
      </c>
      <c r="E603">
        <v>160</v>
      </c>
      <c r="F603" t="s">
        <v>917</v>
      </c>
      <c r="G603">
        <v>2020</v>
      </c>
      <c r="H603" t="s">
        <v>1202</v>
      </c>
      <c r="I603" t="s">
        <v>1203</v>
      </c>
      <c r="J603" t="s">
        <v>1204</v>
      </c>
      <c r="K603" t="s">
        <v>1202</v>
      </c>
      <c r="L603" t="s">
        <v>1205</v>
      </c>
      <c r="M603" t="s">
        <v>918</v>
      </c>
      <c r="N603" t="s">
        <v>1224</v>
      </c>
      <c r="O603" t="s">
        <v>922</v>
      </c>
    </row>
    <row r="604" spans="1:15" x14ac:dyDescent="0.35">
      <c r="A604" t="s">
        <v>1236</v>
      </c>
      <c r="B604" t="s">
        <v>1237</v>
      </c>
      <c r="C604" t="s">
        <v>1200</v>
      </c>
      <c r="D604" t="s">
        <v>932</v>
      </c>
      <c r="E604">
        <v>160</v>
      </c>
      <c r="F604" t="s">
        <v>951</v>
      </c>
      <c r="G604">
        <v>2022</v>
      </c>
      <c r="H604" t="s">
        <v>1202</v>
      </c>
      <c r="I604" t="s">
        <v>1203</v>
      </c>
      <c r="J604" t="s">
        <v>1204</v>
      </c>
      <c r="K604" t="s">
        <v>1202</v>
      </c>
      <c r="L604" t="s">
        <v>1205</v>
      </c>
      <c r="M604" t="s">
        <v>952</v>
      </c>
      <c r="N604" t="s">
        <v>1238</v>
      </c>
      <c r="O604" t="s">
        <v>922</v>
      </c>
    </row>
    <row r="605" spans="1:15" x14ac:dyDescent="0.35">
      <c r="A605" t="s">
        <v>374</v>
      </c>
      <c r="B605" t="s">
        <v>80</v>
      </c>
      <c r="C605" t="s">
        <v>1200</v>
      </c>
      <c r="D605" t="s">
        <v>932</v>
      </c>
      <c r="E605">
        <v>160</v>
      </c>
      <c r="F605" t="s">
        <v>951</v>
      </c>
      <c r="G605">
        <v>2022</v>
      </c>
      <c r="H605" t="s">
        <v>1202</v>
      </c>
      <c r="I605" t="s">
        <v>1203</v>
      </c>
      <c r="J605" t="s">
        <v>1204</v>
      </c>
      <c r="K605" t="s">
        <v>1202</v>
      </c>
      <c r="L605" t="s">
        <v>1205</v>
      </c>
      <c r="M605" t="s">
        <v>918</v>
      </c>
      <c r="N605" t="s">
        <v>1238</v>
      </c>
      <c r="O605" t="s">
        <v>922</v>
      </c>
    </row>
    <row r="606" spans="1:15" x14ac:dyDescent="0.35">
      <c r="A606" t="s">
        <v>366</v>
      </c>
      <c r="B606" t="s">
        <v>1239</v>
      </c>
      <c r="C606" t="s">
        <v>1200</v>
      </c>
      <c r="D606" t="s">
        <v>932</v>
      </c>
      <c r="E606">
        <v>160</v>
      </c>
      <c r="F606" t="s">
        <v>958</v>
      </c>
      <c r="G606">
        <v>2023</v>
      </c>
      <c r="H606" t="s">
        <v>1202</v>
      </c>
      <c r="I606" t="s">
        <v>1203</v>
      </c>
      <c r="J606" t="s">
        <v>1204</v>
      </c>
      <c r="K606" t="s">
        <v>1202</v>
      </c>
      <c r="L606" t="s">
        <v>1205</v>
      </c>
      <c r="M606" t="s">
        <v>918</v>
      </c>
      <c r="N606" t="s">
        <v>1211</v>
      </c>
      <c r="O606" t="s">
        <v>922</v>
      </c>
    </row>
    <row r="607" spans="1:15" x14ac:dyDescent="0.35">
      <c r="A607" t="s">
        <v>1240</v>
      </c>
      <c r="B607" t="s">
        <v>1241</v>
      </c>
      <c r="C607" t="s">
        <v>1200</v>
      </c>
      <c r="D607" t="s">
        <v>932</v>
      </c>
      <c r="E607">
        <v>160</v>
      </c>
      <c r="F607" t="s">
        <v>951</v>
      </c>
      <c r="G607">
        <v>2021</v>
      </c>
      <c r="H607" t="s">
        <v>1202</v>
      </c>
      <c r="I607" t="s">
        <v>1203</v>
      </c>
      <c r="J607" t="s">
        <v>1204</v>
      </c>
      <c r="K607" t="s">
        <v>1202</v>
      </c>
      <c r="L607" t="s">
        <v>1205</v>
      </c>
      <c r="M607" t="s">
        <v>952</v>
      </c>
      <c r="N607" t="s">
        <v>1238</v>
      </c>
      <c r="O607" t="s">
        <v>922</v>
      </c>
    </row>
    <row r="608" spans="1:15" x14ac:dyDescent="0.35">
      <c r="A608" t="s">
        <v>410</v>
      </c>
      <c r="B608" t="s">
        <v>81</v>
      </c>
      <c r="C608" t="s">
        <v>1200</v>
      </c>
      <c r="D608" t="s">
        <v>932</v>
      </c>
      <c r="E608">
        <v>160</v>
      </c>
      <c r="F608" t="s">
        <v>951</v>
      </c>
      <c r="G608">
        <v>2021</v>
      </c>
      <c r="H608" t="s">
        <v>1202</v>
      </c>
      <c r="I608" t="s">
        <v>1203</v>
      </c>
      <c r="J608" t="s">
        <v>1204</v>
      </c>
      <c r="K608" t="s">
        <v>1202</v>
      </c>
      <c r="L608" t="s">
        <v>1205</v>
      </c>
      <c r="M608" t="s">
        <v>918</v>
      </c>
      <c r="N608" t="s">
        <v>1238</v>
      </c>
      <c r="O608" t="s">
        <v>922</v>
      </c>
    </row>
    <row r="609" spans="1:15" x14ac:dyDescent="0.35">
      <c r="A609" t="s">
        <v>1242</v>
      </c>
      <c r="B609" t="s">
        <v>1243</v>
      </c>
      <c r="C609" t="s">
        <v>1200</v>
      </c>
      <c r="D609" t="s">
        <v>932</v>
      </c>
      <c r="E609">
        <v>160</v>
      </c>
      <c r="F609" t="s">
        <v>951</v>
      </c>
      <c r="G609">
        <v>2022</v>
      </c>
      <c r="H609" t="s">
        <v>1202</v>
      </c>
      <c r="I609" t="s">
        <v>1203</v>
      </c>
      <c r="J609" t="s">
        <v>1204</v>
      </c>
      <c r="K609" t="s">
        <v>1202</v>
      </c>
      <c r="L609" t="s">
        <v>1205</v>
      </c>
      <c r="M609" t="s">
        <v>952</v>
      </c>
      <c r="N609" t="s">
        <v>1238</v>
      </c>
      <c r="O609" t="s">
        <v>922</v>
      </c>
    </row>
    <row r="610" spans="1:15" x14ac:dyDescent="0.35">
      <c r="A610" t="s">
        <v>322</v>
      </c>
      <c r="B610" t="s">
        <v>82</v>
      </c>
      <c r="C610" t="s">
        <v>1200</v>
      </c>
      <c r="D610" t="s">
        <v>932</v>
      </c>
      <c r="E610">
        <v>160</v>
      </c>
      <c r="F610" t="s">
        <v>951</v>
      </c>
      <c r="G610">
        <v>2022</v>
      </c>
      <c r="H610" t="s">
        <v>1202</v>
      </c>
      <c r="I610" t="s">
        <v>1203</v>
      </c>
      <c r="J610" t="s">
        <v>1204</v>
      </c>
      <c r="K610" t="s">
        <v>1202</v>
      </c>
      <c r="L610" t="s">
        <v>1205</v>
      </c>
      <c r="M610" t="s">
        <v>918</v>
      </c>
      <c r="N610" t="s">
        <v>1238</v>
      </c>
      <c r="O610" t="s">
        <v>922</v>
      </c>
    </row>
    <row r="611" spans="1:15" x14ac:dyDescent="0.35">
      <c r="A611" t="s">
        <v>1244</v>
      </c>
      <c r="B611" t="s">
        <v>1245</v>
      </c>
      <c r="C611" t="s">
        <v>1200</v>
      </c>
      <c r="D611" t="s">
        <v>932</v>
      </c>
      <c r="E611">
        <v>160</v>
      </c>
      <c r="F611" t="s">
        <v>951</v>
      </c>
      <c r="G611">
        <v>2023</v>
      </c>
      <c r="H611" t="s">
        <v>1202</v>
      </c>
      <c r="I611" t="s">
        <v>1203</v>
      </c>
      <c r="J611" t="s">
        <v>1204</v>
      </c>
      <c r="K611" t="s">
        <v>1202</v>
      </c>
      <c r="L611" t="s">
        <v>1205</v>
      </c>
      <c r="M611" t="s">
        <v>952</v>
      </c>
      <c r="N611" t="s">
        <v>1238</v>
      </c>
      <c r="O611" t="s">
        <v>922</v>
      </c>
    </row>
    <row r="612" spans="1:15" x14ac:dyDescent="0.35">
      <c r="A612" t="s">
        <v>333</v>
      </c>
      <c r="B612" t="s">
        <v>83</v>
      </c>
      <c r="C612" t="s">
        <v>1200</v>
      </c>
      <c r="D612" t="s">
        <v>932</v>
      </c>
      <c r="E612">
        <v>160</v>
      </c>
      <c r="F612" t="s">
        <v>951</v>
      </c>
      <c r="G612">
        <v>2023</v>
      </c>
      <c r="H612" t="s">
        <v>1202</v>
      </c>
      <c r="I612" t="s">
        <v>1203</v>
      </c>
      <c r="J612" t="s">
        <v>1204</v>
      </c>
      <c r="K612" t="s">
        <v>1202</v>
      </c>
      <c r="L612" t="s">
        <v>1205</v>
      </c>
      <c r="M612" t="s">
        <v>918</v>
      </c>
      <c r="N612" t="s">
        <v>1238</v>
      </c>
      <c r="O612" t="s">
        <v>922</v>
      </c>
    </row>
    <row r="613" spans="1:15" x14ac:dyDescent="0.35">
      <c r="A613" t="s">
        <v>1246</v>
      </c>
      <c r="B613" t="s">
        <v>1247</v>
      </c>
      <c r="C613" t="s">
        <v>1200</v>
      </c>
      <c r="D613" t="s">
        <v>932</v>
      </c>
      <c r="E613">
        <v>160</v>
      </c>
      <c r="F613" t="s">
        <v>951</v>
      </c>
      <c r="G613">
        <v>2024</v>
      </c>
      <c r="H613" t="s">
        <v>1202</v>
      </c>
      <c r="I613" t="s">
        <v>1203</v>
      </c>
      <c r="J613" t="s">
        <v>1204</v>
      </c>
      <c r="K613" t="s">
        <v>1202</v>
      </c>
      <c r="L613" t="s">
        <v>1205</v>
      </c>
      <c r="M613" t="s">
        <v>952</v>
      </c>
      <c r="N613" t="s">
        <v>1238</v>
      </c>
      <c r="O613" t="s">
        <v>922</v>
      </c>
    </row>
    <row r="614" spans="1:15" x14ac:dyDescent="0.35">
      <c r="A614" t="s">
        <v>349</v>
      </c>
      <c r="B614" t="s">
        <v>84</v>
      </c>
      <c r="C614" t="s">
        <v>1200</v>
      </c>
      <c r="D614" t="s">
        <v>932</v>
      </c>
      <c r="E614">
        <v>160</v>
      </c>
      <c r="F614" t="s">
        <v>951</v>
      </c>
      <c r="G614">
        <v>2024</v>
      </c>
      <c r="H614" t="s">
        <v>1202</v>
      </c>
      <c r="I614" t="s">
        <v>1203</v>
      </c>
      <c r="J614" t="s">
        <v>1204</v>
      </c>
      <c r="K614" t="s">
        <v>1202</v>
      </c>
      <c r="L614" t="s">
        <v>1205</v>
      </c>
      <c r="M614" t="s">
        <v>918</v>
      </c>
      <c r="N614" t="s">
        <v>1238</v>
      </c>
      <c r="O614" t="s">
        <v>922</v>
      </c>
    </row>
    <row r="615" spans="1:15" x14ac:dyDescent="0.35">
      <c r="A615" t="s">
        <v>1248</v>
      </c>
      <c r="B615" t="s">
        <v>1249</v>
      </c>
      <c r="C615" t="s">
        <v>1200</v>
      </c>
      <c r="D615" t="s">
        <v>932</v>
      </c>
      <c r="E615">
        <v>160</v>
      </c>
      <c r="F615" t="s">
        <v>951</v>
      </c>
      <c r="G615">
        <v>2020</v>
      </c>
      <c r="H615" t="s">
        <v>1202</v>
      </c>
      <c r="I615" t="s">
        <v>1203</v>
      </c>
      <c r="J615" t="s">
        <v>1204</v>
      </c>
      <c r="K615" t="s">
        <v>1202</v>
      </c>
      <c r="L615" t="s">
        <v>1205</v>
      </c>
      <c r="M615" t="s">
        <v>952</v>
      </c>
      <c r="N615" t="s">
        <v>1238</v>
      </c>
      <c r="O615" t="s">
        <v>922</v>
      </c>
    </row>
    <row r="616" spans="1:15" x14ac:dyDescent="0.35">
      <c r="A616" t="s">
        <v>1250</v>
      </c>
      <c r="B616" t="s">
        <v>1251</v>
      </c>
      <c r="C616" t="s">
        <v>1200</v>
      </c>
      <c r="D616" t="s">
        <v>932</v>
      </c>
      <c r="E616">
        <v>160</v>
      </c>
      <c r="F616" t="s">
        <v>951</v>
      </c>
      <c r="G616">
        <v>2020</v>
      </c>
      <c r="H616" t="s">
        <v>1202</v>
      </c>
      <c r="I616" t="s">
        <v>1203</v>
      </c>
      <c r="J616" t="s">
        <v>1204</v>
      </c>
      <c r="K616" t="s">
        <v>1202</v>
      </c>
      <c r="L616" t="s">
        <v>1205</v>
      </c>
      <c r="M616" t="s">
        <v>918</v>
      </c>
      <c r="N616" t="s">
        <v>1238</v>
      </c>
      <c r="O616" t="s">
        <v>922</v>
      </c>
    </row>
    <row r="617" spans="1:15" x14ac:dyDescent="0.35">
      <c r="A617" t="s">
        <v>1252</v>
      </c>
      <c r="B617" t="s">
        <v>1253</v>
      </c>
      <c r="C617" t="s">
        <v>1200</v>
      </c>
      <c r="D617" t="s">
        <v>932</v>
      </c>
      <c r="E617">
        <v>160</v>
      </c>
      <c r="F617" t="s">
        <v>951</v>
      </c>
      <c r="G617">
        <v>2021</v>
      </c>
      <c r="H617" t="s">
        <v>1202</v>
      </c>
      <c r="I617" t="s">
        <v>1203</v>
      </c>
      <c r="J617" t="s">
        <v>1204</v>
      </c>
      <c r="K617" t="s">
        <v>1202</v>
      </c>
      <c r="L617" t="s">
        <v>1205</v>
      </c>
      <c r="M617" t="s">
        <v>952</v>
      </c>
      <c r="N617" t="s">
        <v>1238</v>
      </c>
      <c r="O617" t="s">
        <v>922</v>
      </c>
    </row>
    <row r="618" spans="1:15" x14ac:dyDescent="0.35">
      <c r="A618" t="s">
        <v>841</v>
      </c>
      <c r="B618" t="s">
        <v>1254</v>
      </c>
      <c r="C618" t="s">
        <v>1200</v>
      </c>
      <c r="D618" t="s">
        <v>932</v>
      </c>
      <c r="E618">
        <v>160</v>
      </c>
      <c r="F618" t="s">
        <v>951</v>
      </c>
      <c r="G618">
        <v>2021</v>
      </c>
      <c r="H618" t="s">
        <v>1202</v>
      </c>
      <c r="I618" t="s">
        <v>1203</v>
      </c>
      <c r="J618" t="s">
        <v>1204</v>
      </c>
      <c r="K618" t="s">
        <v>1202</v>
      </c>
      <c r="L618" t="s">
        <v>1205</v>
      </c>
      <c r="M618" t="s">
        <v>918</v>
      </c>
      <c r="N618" t="s">
        <v>1238</v>
      </c>
      <c r="O618" t="s">
        <v>922</v>
      </c>
    </row>
    <row r="619" spans="1:15" x14ac:dyDescent="0.35">
      <c r="A619" t="s">
        <v>1255</v>
      </c>
      <c r="B619" t="s">
        <v>1256</v>
      </c>
      <c r="C619" t="s">
        <v>1200</v>
      </c>
      <c r="D619" t="s">
        <v>932</v>
      </c>
      <c r="E619">
        <v>160</v>
      </c>
      <c r="F619" t="s">
        <v>958</v>
      </c>
      <c r="G619">
        <v>2022</v>
      </c>
      <c r="H619" t="s">
        <v>1202</v>
      </c>
      <c r="I619" t="s">
        <v>1203</v>
      </c>
      <c r="J619" t="s">
        <v>1204</v>
      </c>
      <c r="K619" t="s">
        <v>1202</v>
      </c>
      <c r="L619" t="s">
        <v>1205</v>
      </c>
      <c r="M619" t="s">
        <v>952</v>
      </c>
      <c r="N619" t="s">
        <v>1211</v>
      </c>
      <c r="O619" t="s">
        <v>922</v>
      </c>
    </row>
    <row r="620" spans="1:15" x14ac:dyDescent="0.35">
      <c r="A620" t="s">
        <v>842</v>
      </c>
      <c r="B620" t="s">
        <v>1257</v>
      </c>
      <c r="C620" t="s">
        <v>1200</v>
      </c>
      <c r="D620" t="s">
        <v>932</v>
      </c>
      <c r="E620">
        <v>160</v>
      </c>
      <c r="F620" t="s">
        <v>958</v>
      </c>
      <c r="G620">
        <v>2022</v>
      </c>
      <c r="H620" t="s">
        <v>1202</v>
      </c>
      <c r="I620" t="s">
        <v>1203</v>
      </c>
      <c r="J620" t="s">
        <v>1204</v>
      </c>
      <c r="K620" t="s">
        <v>1202</v>
      </c>
      <c r="L620" t="s">
        <v>1205</v>
      </c>
      <c r="M620" t="s">
        <v>918</v>
      </c>
      <c r="N620" t="s">
        <v>1211</v>
      </c>
      <c r="O620" t="s">
        <v>922</v>
      </c>
    </row>
    <row r="621" spans="1:15" x14ac:dyDescent="0.35">
      <c r="A621" t="s">
        <v>315</v>
      </c>
      <c r="B621" t="s">
        <v>1258</v>
      </c>
      <c r="C621" t="s">
        <v>1200</v>
      </c>
      <c r="D621" t="s">
        <v>932</v>
      </c>
      <c r="E621">
        <v>160</v>
      </c>
      <c r="F621" t="s">
        <v>958</v>
      </c>
      <c r="G621">
        <v>2023</v>
      </c>
      <c r="H621" t="s">
        <v>1202</v>
      </c>
      <c r="I621" t="s">
        <v>1203</v>
      </c>
      <c r="J621" t="s">
        <v>1204</v>
      </c>
      <c r="K621" t="s">
        <v>1202</v>
      </c>
      <c r="L621" t="s">
        <v>1205</v>
      </c>
      <c r="M621" t="s">
        <v>918</v>
      </c>
      <c r="N621" t="s">
        <v>1211</v>
      </c>
      <c r="O621" t="s">
        <v>922</v>
      </c>
    </row>
    <row r="622" spans="1:15" x14ac:dyDescent="0.35">
      <c r="A622" t="s">
        <v>1259</v>
      </c>
      <c r="B622" t="s">
        <v>1260</v>
      </c>
      <c r="C622" t="s">
        <v>1200</v>
      </c>
      <c r="D622" t="s">
        <v>932</v>
      </c>
      <c r="E622">
        <v>160</v>
      </c>
      <c r="F622" t="s">
        <v>933</v>
      </c>
      <c r="G622">
        <v>2021</v>
      </c>
      <c r="H622" t="s">
        <v>1202</v>
      </c>
      <c r="I622" t="s">
        <v>1203</v>
      </c>
      <c r="J622" t="s">
        <v>1204</v>
      </c>
      <c r="K622" t="s">
        <v>1202</v>
      </c>
      <c r="L622" t="s">
        <v>1205</v>
      </c>
      <c r="M622" t="s">
        <v>952</v>
      </c>
      <c r="N622" t="s">
        <v>1208</v>
      </c>
      <c r="O622" t="s">
        <v>922</v>
      </c>
    </row>
    <row r="623" spans="1:15" x14ac:dyDescent="0.35">
      <c r="A623" t="s">
        <v>880</v>
      </c>
      <c r="B623" t="s">
        <v>1261</v>
      </c>
      <c r="C623" t="s">
        <v>1200</v>
      </c>
      <c r="D623" t="s">
        <v>932</v>
      </c>
      <c r="E623">
        <v>160</v>
      </c>
      <c r="F623" t="s">
        <v>933</v>
      </c>
      <c r="G623">
        <v>2021</v>
      </c>
      <c r="H623" t="s">
        <v>1202</v>
      </c>
      <c r="I623" t="s">
        <v>1203</v>
      </c>
      <c r="J623" t="s">
        <v>1204</v>
      </c>
      <c r="K623" t="s">
        <v>1202</v>
      </c>
      <c r="L623" t="s">
        <v>1205</v>
      </c>
      <c r="M623" t="s">
        <v>918</v>
      </c>
      <c r="N623" t="s">
        <v>1208</v>
      </c>
      <c r="O623" t="s">
        <v>922</v>
      </c>
    </row>
    <row r="624" spans="1:15" x14ac:dyDescent="0.35">
      <c r="A624" t="s">
        <v>1262</v>
      </c>
      <c r="B624" t="s">
        <v>1263</v>
      </c>
      <c r="C624" t="s">
        <v>1200</v>
      </c>
      <c r="D624" t="s">
        <v>932</v>
      </c>
      <c r="E624">
        <v>160</v>
      </c>
      <c r="F624" t="s">
        <v>933</v>
      </c>
      <c r="G624">
        <v>2022</v>
      </c>
      <c r="H624" t="s">
        <v>1202</v>
      </c>
      <c r="I624" t="s">
        <v>1203</v>
      </c>
      <c r="J624" t="s">
        <v>1204</v>
      </c>
      <c r="K624" t="s">
        <v>1202</v>
      </c>
      <c r="L624" t="s">
        <v>1205</v>
      </c>
      <c r="M624" t="s">
        <v>952</v>
      </c>
      <c r="N624" t="s">
        <v>1208</v>
      </c>
      <c r="O624" t="s">
        <v>922</v>
      </c>
    </row>
    <row r="625" spans="1:15" x14ac:dyDescent="0.35">
      <c r="A625" t="s">
        <v>843</v>
      </c>
      <c r="B625" t="s">
        <v>1264</v>
      </c>
      <c r="C625" t="s">
        <v>1200</v>
      </c>
      <c r="D625" t="s">
        <v>932</v>
      </c>
      <c r="E625">
        <v>160</v>
      </c>
      <c r="F625" t="s">
        <v>933</v>
      </c>
      <c r="G625">
        <v>2022</v>
      </c>
      <c r="H625" t="s">
        <v>1202</v>
      </c>
      <c r="I625" t="s">
        <v>1203</v>
      </c>
      <c r="J625" t="s">
        <v>1204</v>
      </c>
      <c r="K625" t="s">
        <v>1202</v>
      </c>
      <c r="L625" t="s">
        <v>1205</v>
      </c>
      <c r="M625" t="s">
        <v>918</v>
      </c>
      <c r="N625" t="s">
        <v>1208</v>
      </c>
      <c r="O625" t="s">
        <v>922</v>
      </c>
    </row>
    <row r="626" spans="1:15" x14ac:dyDescent="0.35">
      <c r="A626" t="s">
        <v>1265</v>
      </c>
      <c r="B626" t="s">
        <v>1266</v>
      </c>
      <c r="C626" t="s">
        <v>1200</v>
      </c>
      <c r="D626" t="s">
        <v>932</v>
      </c>
      <c r="E626">
        <v>160</v>
      </c>
      <c r="F626" t="s">
        <v>933</v>
      </c>
      <c r="G626">
        <v>2023</v>
      </c>
      <c r="H626" t="s">
        <v>1202</v>
      </c>
      <c r="I626" t="s">
        <v>1203</v>
      </c>
      <c r="J626" t="s">
        <v>1204</v>
      </c>
      <c r="K626" t="s">
        <v>1202</v>
      </c>
      <c r="L626" t="s">
        <v>1205</v>
      </c>
      <c r="M626" t="s">
        <v>952</v>
      </c>
      <c r="N626" t="s">
        <v>1208</v>
      </c>
      <c r="O626" t="s">
        <v>922</v>
      </c>
    </row>
    <row r="627" spans="1:15" x14ac:dyDescent="0.35">
      <c r="A627" t="s">
        <v>1267</v>
      </c>
      <c r="B627" t="s">
        <v>1268</v>
      </c>
      <c r="C627" t="s">
        <v>1200</v>
      </c>
      <c r="D627" t="s">
        <v>932</v>
      </c>
      <c r="E627">
        <v>160</v>
      </c>
      <c r="F627" t="s">
        <v>933</v>
      </c>
      <c r="G627">
        <v>2023</v>
      </c>
      <c r="H627" t="s">
        <v>1202</v>
      </c>
      <c r="I627" t="s">
        <v>1203</v>
      </c>
      <c r="J627" t="s">
        <v>1204</v>
      </c>
      <c r="K627" t="s">
        <v>1202</v>
      </c>
      <c r="L627" t="s">
        <v>1205</v>
      </c>
      <c r="M627" t="s">
        <v>969</v>
      </c>
      <c r="N627" t="s">
        <v>1208</v>
      </c>
      <c r="O627" t="s">
        <v>922</v>
      </c>
    </row>
    <row r="628" spans="1:15" x14ac:dyDescent="0.35">
      <c r="A628" t="s">
        <v>335</v>
      </c>
      <c r="B628" t="s">
        <v>1269</v>
      </c>
      <c r="C628" t="s">
        <v>1200</v>
      </c>
      <c r="D628" t="s">
        <v>932</v>
      </c>
      <c r="E628">
        <v>160</v>
      </c>
      <c r="F628" t="s">
        <v>933</v>
      </c>
      <c r="G628">
        <v>2023</v>
      </c>
      <c r="H628" t="s">
        <v>1202</v>
      </c>
      <c r="I628" t="s">
        <v>1203</v>
      </c>
      <c r="J628" t="s">
        <v>1204</v>
      </c>
      <c r="K628" t="s">
        <v>1202</v>
      </c>
      <c r="L628" t="s">
        <v>1205</v>
      </c>
      <c r="M628" t="s">
        <v>918</v>
      </c>
      <c r="N628" t="s">
        <v>1208</v>
      </c>
      <c r="O628" t="s">
        <v>922</v>
      </c>
    </row>
    <row r="629" spans="1:15" x14ac:dyDescent="0.35">
      <c r="A629" t="s">
        <v>1270</v>
      </c>
      <c r="B629" t="s">
        <v>1271</v>
      </c>
      <c r="C629" t="s">
        <v>1200</v>
      </c>
      <c r="D629" t="s">
        <v>932</v>
      </c>
      <c r="E629">
        <v>160</v>
      </c>
      <c r="F629" t="s">
        <v>933</v>
      </c>
      <c r="G629">
        <v>2024</v>
      </c>
      <c r="H629" t="s">
        <v>1202</v>
      </c>
      <c r="I629" t="s">
        <v>1203</v>
      </c>
      <c r="J629" t="s">
        <v>1204</v>
      </c>
      <c r="K629" t="s">
        <v>1202</v>
      </c>
      <c r="L629" t="s">
        <v>1205</v>
      </c>
      <c r="M629" t="s">
        <v>952</v>
      </c>
      <c r="N629" t="s">
        <v>1208</v>
      </c>
      <c r="O629" t="s">
        <v>922</v>
      </c>
    </row>
    <row r="630" spans="1:15" x14ac:dyDescent="0.35">
      <c r="A630" t="s">
        <v>353</v>
      </c>
      <c r="B630" t="s">
        <v>1272</v>
      </c>
      <c r="C630" t="s">
        <v>1200</v>
      </c>
      <c r="D630" t="s">
        <v>932</v>
      </c>
      <c r="E630">
        <v>160</v>
      </c>
      <c r="F630" t="s">
        <v>933</v>
      </c>
      <c r="G630">
        <v>2024</v>
      </c>
      <c r="H630" t="s">
        <v>1202</v>
      </c>
      <c r="I630" t="s">
        <v>1203</v>
      </c>
      <c r="J630" t="s">
        <v>1204</v>
      </c>
      <c r="K630" t="s">
        <v>1202</v>
      </c>
      <c r="L630" t="s">
        <v>1205</v>
      </c>
      <c r="M630" t="s">
        <v>918</v>
      </c>
      <c r="N630" t="s">
        <v>1208</v>
      </c>
      <c r="O630" t="s">
        <v>922</v>
      </c>
    </row>
    <row r="631" spans="1:15" x14ac:dyDescent="0.35">
      <c r="A631" t="s">
        <v>1273</v>
      </c>
      <c r="B631" t="s">
        <v>1274</v>
      </c>
      <c r="C631" t="s">
        <v>1200</v>
      </c>
      <c r="D631" t="s">
        <v>932</v>
      </c>
      <c r="E631">
        <v>160</v>
      </c>
      <c r="F631" t="s">
        <v>958</v>
      </c>
      <c r="G631">
        <v>2019</v>
      </c>
      <c r="H631" t="s">
        <v>1202</v>
      </c>
      <c r="I631" t="s">
        <v>1203</v>
      </c>
      <c r="J631" t="s">
        <v>1204</v>
      </c>
      <c r="K631" t="s">
        <v>1202</v>
      </c>
      <c r="L631" t="s">
        <v>1205</v>
      </c>
      <c r="M631" t="s">
        <v>952</v>
      </c>
      <c r="N631" t="s">
        <v>1211</v>
      </c>
      <c r="O631" t="s">
        <v>922</v>
      </c>
    </row>
    <row r="632" spans="1:15" x14ac:dyDescent="0.35">
      <c r="A632" t="s">
        <v>1275</v>
      </c>
      <c r="B632" t="s">
        <v>1276</v>
      </c>
      <c r="C632" t="s">
        <v>1200</v>
      </c>
      <c r="D632" t="s">
        <v>932</v>
      </c>
      <c r="E632">
        <v>160</v>
      </c>
      <c r="F632" t="s">
        <v>958</v>
      </c>
      <c r="G632">
        <v>2020</v>
      </c>
      <c r="H632" t="s">
        <v>1202</v>
      </c>
      <c r="I632" t="s">
        <v>1203</v>
      </c>
      <c r="J632" t="s">
        <v>1204</v>
      </c>
      <c r="K632" t="s">
        <v>1202</v>
      </c>
      <c r="L632" t="s">
        <v>1205</v>
      </c>
      <c r="M632" t="s">
        <v>952</v>
      </c>
      <c r="N632" t="s">
        <v>1211</v>
      </c>
      <c r="O632" t="s">
        <v>922</v>
      </c>
    </row>
    <row r="633" spans="1:15" x14ac:dyDescent="0.35">
      <c r="A633" t="s">
        <v>881</v>
      </c>
      <c r="B633" t="s">
        <v>1277</v>
      </c>
      <c r="C633" t="s">
        <v>1200</v>
      </c>
      <c r="D633" t="s">
        <v>932</v>
      </c>
      <c r="E633">
        <v>160</v>
      </c>
      <c r="F633" t="s">
        <v>958</v>
      </c>
      <c r="G633">
        <v>2020</v>
      </c>
      <c r="H633" t="s">
        <v>1202</v>
      </c>
      <c r="I633" t="s">
        <v>1203</v>
      </c>
      <c r="J633" t="s">
        <v>1204</v>
      </c>
      <c r="K633" t="s">
        <v>1202</v>
      </c>
      <c r="L633" t="s">
        <v>1205</v>
      </c>
      <c r="M633" t="s">
        <v>918</v>
      </c>
      <c r="N633" t="s">
        <v>1211</v>
      </c>
      <c r="O633" t="s">
        <v>922</v>
      </c>
    </row>
    <row r="634" spans="1:15" x14ac:dyDescent="0.35">
      <c r="A634" t="s">
        <v>1278</v>
      </c>
      <c r="B634" t="s">
        <v>1279</v>
      </c>
      <c r="C634" t="s">
        <v>1200</v>
      </c>
      <c r="D634" t="s">
        <v>932</v>
      </c>
      <c r="E634">
        <v>160</v>
      </c>
      <c r="F634" t="s">
        <v>958</v>
      </c>
      <c r="G634">
        <v>2021</v>
      </c>
      <c r="H634" t="s">
        <v>1202</v>
      </c>
      <c r="I634" t="s">
        <v>1203</v>
      </c>
      <c r="J634" t="s">
        <v>1204</v>
      </c>
      <c r="K634" t="s">
        <v>1202</v>
      </c>
      <c r="L634" t="s">
        <v>1205</v>
      </c>
      <c r="M634" t="s">
        <v>952</v>
      </c>
      <c r="N634" t="s">
        <v>1211</v>
      </c>
      <c r="O634" t="s">
        <v>922</v>
      </c>
    </row>
    <row r="635" spans="1:15" x14ac:dyDescent="0.35">
      <c r="A635" t="s">
        <v>318</v>
      </c>
      <c r="B635" t="s">
        <v>1280</v>
      </c>
      <c r="C635" t="s">
        <v>1200</v>
      </c>
      <c r="D635" t="s">
        <v>932</v>
      </c>
      <c r="E635">
        <v>160</v>
      </c>
      <c r="F635" t="s">
        <v>958</v>
      </c>
      <c r="G635">
        <v>2021</v>
      </c>
      <c r="H635" t="s">
        <v>1202</v>
      </c>
      <c r="I635" t="s">
        <v>1203</v>
      </c>
      <c r="J635" t="s">
        <v>1204</v>
      </c>
      <c r="K635" t="s">
        <v>1202</v>
      </c>
      <c r="L635" t="s">
        <v>1205</v>
      </c>
      <c r="M635" t="s">
        <v>918</v>
      </c>
      <c r="N635" t="s">
        <v>1211</v>
      </c>
      <c r="O635" t="s">
        <v>922</v>
      </c>
    </row>
    <row r="636" spans="1:15" x14ac:dyDescent="0.35">
      <c r="A636" t="s">
        <v>1281</v>
      </c>
      <c r="B636" t="s">
        <v>1282</v>
      </c>
      <c r="C636" t="s">
        <v>1200</v>
      </c>
      <c r="D636" t="s">
        <v>932</v>
      </c>
      <c r="E636">
        <v>160</v>
      </c>
      <c r="F636" t="s">
        <v>942</v>
      </c>
      <c r="G636">
        <v>2022</v>
      </c>
      <c r="H636" t="s">
        <v>1202</v>
      </c>
      <c r="I636" t="s">
        <v>1203</v>
      </c>
      <c r="J636" t="s">
        <v>1204</v>
      </c>
      <c r="K636" t="s">
        <v>1202</v>
      </c>
      <c r="L636" t="s">
        <v>1205</v>
      </c>
      <c r="M636" t="s">
        <v>952</v>
      </c>
      <c r="N636" t="s">
        <v>1220</v>
      </c>
      <c r="O636" t="s">
        <v>922</v>
      </c>
    </row>
    <row r="637" spans="1:15" x14ac:dyDescent="0.35">
      <c r="A637" t="s">
        <v>411</v>
      </c>
      <c r="B637" t="s">
        <v>85</v>
      </c>
      <c r="C637" t="s">
        <v>1200</v>
      </c>
      <c r="D637" t="s">
        <v>932</v>
      </c>
      <c r="E637">
        <v>160</v>
      </c>
      <c r="F637" t="s">
        <v>942</v>
      </c>
      <c r="G637">
        <v>2022</v>
      </c>
      <c r="H637" t="s">
        <v>1202</v>
      </c>
      <c r="I637" t="s">
        <v>1203</v>
      </c>
      <c r="J637" t="s">
        <v>1204</v>
      </c>
      <c r="K637" t="s">
        <v>1202</v>
      </c>
      <c r="L637" t="s">
        <v>1205</v>
      </c>
      <c r="M637" t="s">
        <v>918</v>
      </c>
      <c r="N637" t="s">
        <v>1220</v>
      </c>
      <c r="O637" t="s">
        <v>922</v>
      </c>
    </row>
    <row r="638" spans="1:15" x14ac:dyDescent="0.35">
      <c r="A638" t="s">
        <v>379</v>
      </c>
      <c r="B638" t="s">
        <v>1283</v>
      </c>
      <c r="C638" t="s">
        <v>1200</v>
      </c>
      <c r="D638" t="s">
        <v>932</v>
      </c>
      <c r="E638">
        <v>160</v>
      </c>
      <c r="F638" t="s">
        <v>942</v>
      </c>
      <c r="G638">
        <v>2023</v>
      </c>
      <c r="H638" t="s">
        <v>1202</v>
      </c>
      <c r="I638" t="s">
        <v>1203</v>
      </c>
      <c r="J638" t="s">
        <v>1204</v>
      </c>
      <c r="K638" t="s">
        <v>1202</v>
      </c>
      <c r="L638" t="s">
        <v>1205</v>
      </c>
      <c r="M638" t="s">
        <v>918</v>
      </c>
      <c r="N638" t="s">
        <v>1220</v>
      </c>
      <c r="O638" t="s">
        <v>922</v>
      </c>
    </row>
    <row r="639" spans="1:15" x14ac:dyDescent="0.35">
      <c r="A639" t="s">
        <v>367</v>
      </c>
      <c r="B639" t="s">
        <v>1284</v>
      </c>
      <c r="C639" t="s">
        <v>1200</v>
      </c>
      <c r="D639" t="s">
        <v>932</v>
      </c>
      <c r="E639">
        <v>160</v>
      </c>
      <c r="F639" t="s">
        <v>933</v>
      </c>
      <c r="G639">
        <v>2024</v>
      </c>
      <c r="H639" t="s">
        <v>1202</v>
      </c>
      <c r="I639" t="s">
        <v>1203</v>
      </c>
      <c r="J639" t="s">
        <v>1204</v>
      </c>
      <c r="K639" t="s">
        <v>1202</v>
      </c>
      <c r="L639" t="s">
        <v>1205</v>
      </c>
      <c r="M639" t="s">
        <v>918</v>
      </c>
      <c r="N639" t="s">
        <v>1208</v>
      </c>
      <c r="O639" t="s">
        <v>922</v>
      </c>
    </row>
    <row r="640" spans="1:15" x14ac:dyDescent="0.35">
      <c r="A640" t="s">
        <v>1285</v>
      </c>
      <c r="B640" t="s">
        <v>1286</v>
      </c>
      <c r="C640" t="s">
        <v>1200</v>
      </c>
      <c r="D640" t="s">
        <v>932</v>
      </c>
      <c r="E640">
        <v>160</v>
      </c>
      <c r="F640" t="s">
        <v>942</v>
      </c>
      <c r="G640">
        <v>2022</v>
      </c>
      <c r="H640" t="s">
        <v>1202</v>
      </c>
      <c r="I640" t="s">
        <v>1203</v>
      </c>
      <c r="J640" t="s">
        <v>1204</v>
      </c>
      <c r="K640" t="s">
        <v>1202</v>
      </c>
      <c r="L640" t="s">
        <v>1205</v>
      </c>
      <c r="M640" t="s">
        <v>952</v>
      </c>
      <c r="N640" t="s">
        <v>1220</v>
      </c>
      <c r="O640" t="s">
        <v>922</v>
      </c>
    </row>
    <row r="641" spans="1:15" x14ac:dyDescent="0.35">
      <c r="A641" t="s">
        <v>412</v>
      </c>
      <c r="B641" t="s">
        <v>86</v>
      </c>
      <c r="C641" t="s">
        <v>1200</v>
      </c>
      <c r="D641" t="s">
        <v>932</v>
      </c>
      <c r="E641">
        <v>160</v>
      </c>
      <c r="F641" t="s">
        <v>942</v>
      </c>
      <c r="G641">
        <v>2022</v>
      </c>
      <c r="H641" t="s">
        <v>1202</v>
      </c>
      <c r="I641" t="s">
        <v>1203</v>
      </c>
      <c r="J641" t="s">
        <v>1204</v>
      </c>
      <c r="K641" t="s">
        <v>1202</v>
      </c>
      <c r="L641" t="s">
        <v>1205</v>
      </c>
      <c r="M641" t="s">
        <v>918</v>
      </c>
      <c r="N641" t="s">
        <v>1220</v>
      </c>
      <c r="O641" t="s">
        <v>922</v>
      </c>
    </row>
    <row r="642" spans="1:15" x14ac:dyDescent="0.35">
      <c r="A642" t="s">
        <v>1287</v>
      </c>
      <c r="B642" t="s">
        <v>1288</v>
      </c>
      <c r="C642" t="s">
        <v>1200</v>
      </c>
      <c r="D642" t="s">
        <v>932</v>
      </c>
      <c r="E642">
        <v>160</v>
      </c>
      <c r="F642" t="s">
        <v>942</v>
      </c>
      <c r="G642">
        <v>2023</v>
      </c>
      <c r="H642" t="s">
        <v>1202</v>
      </c>
      <c r="I642" t="s">
        <v>1203</v>
      </c>
      <c r="J642" t="s">
        <v>1204</v>
      </c>
      <c r="K642" t="s">
        <v>1202</v>
      </c>
      <c r="L642" t="s">
        <v>1205</v>
      </c>
      <c r="M642" t="s">
        <v>952</v>
      </c>
      <c r="N642" t="s">
        <v>1220</v>
      </c>
      <c r="O642" t="s">
        <v>922</v>
      </c>
    </row>
    <row r="643" spans="1:15" x14ac:dyDescent="0.35">
      <c r="A643" t="s">
        <v>1289</v>
      </c>
      <c r="B643" t="s">
        <v>1290</v>
      </c>
      <c r="C643" t="s">
        <v>1200</v>
      </c>
      <c r="D643" t="s">
        <v>932</v>
      </c>
      <c r="E643">
        <v>160</v>
      </c>
      <c r="F643" t="s">
        <v>942</v>
      </c>
      <c r="G643">
        <v>2023</v>
      </c>
      <c r="H643" t="s">
        <v>1202</v>
      </c>
      <c r="I643" t="s">
        <v>1203</v>
      </c>
      <c r="J643" t="s">
        <v>1204</v>
      </c>
      <c r="K643" t="s">
        <v>1202</v>
      </c>
      <c r="L643" t="s">
        <v>1205</v>
      </c>
      <c r="M643" t="s">
        <v>969</v>
      </c>
      <c r="N643" t="s">
        <v>1220</v>
      </c>
      <c r="O643" t="s">
        <v>922</v>
      </c>
    </row>
    <row r="644" spans="1:15" x14ac:dyDescent="0.35">
      <c r="A644" t="s">
        <v>334</v>
      </c>
      <c r="B644" t="s">
        <v>87</v>
      </c>
      <c r="C644" t="s">
        <v>1200</v>
      </c>
      <c r="D644" t="s">
        <v>932</v>
      </c>
      <c r="E644">
        <v>160</v>
      </c>
      <c r="F644" t="s">
        <v>942</v>
      </c>
      <c r="G644">
        <v>2023</v>
      </c>
      <c r="H644" t="s">
        <v>1202</v>
      </c>
      <c r="I644" t="s">
        <v>1203</v>
      </c>
      <c r="J644" t="s">
        <v>1204</v>
      </c>
      <c r="K644" t="s">
        <v>1202</v>
      </c>
      <c r="L644" t="s">
        <v>1205</v>
      </c>
      <c r="M644" t="s">
        <v>918</v>
      </c>
      <c r="N644" t="s">
        <v>1220</v>
      </c>
      <c r="O644" t="s">
        <v>922</v>
      </c>
    </row>
    <row r="645" spans="1:15" x14ac:dyDescent="0.35">
      <c r="A645" t="s">
        <v>1291</v>
      </c>
      <c r="B645" t="s">
        <v>1292</v>
      </c>
      <c r="C645" t="s">
        <v>1200</v>
      </c>
      <c r="D645" t="s">
        <v>932</v>
      </c>
      <c r="E645">
        <v>160</v>
      </c>
      <c r="F645" t="s">
        <v>942</v>
      </c>
      <c r="G645">
        <v>2024</v>
      </c>
      <c r="H645" t="s">
        <v>1202</v>
      </c>
      <c r="I645" t="s">
        <v>1203</v>
      </c>
      <c r="J645" t="s">
        <v>1204</v>
      </c>
      <c r="K645" t="s">
        <v>1202</v>
      </c>
      <c r="L645" t="s">
        <v>1205</v>
      </c>
      <c r="M645" t="s">
        <v>952</v>
      </c>
      <c r="N645" t="s">
        <v>1220</v>
      </c>
      <c r="O645" t="s">
        <v>922</v>
      </c>
    </row>
    <row r="646" spans="1:15" x14ac:dyDescent="0.35">
      <c r="A646" t="s">
        <v>350</v>
      </c>
      <c r="B646" t="s">
        <v>88</v>
      </c>
      <c r="C646" t="s">
        <v>1200</v>
      </c>
      <c r="D646" t="s">
        <v>932</v>
      </c>
      <c r="E646">
        <v>160</v>
      </c>
      <c r="F646" t="s">
        <v>942</v>
      </c>
      <c r="G646">
        <v>2024</v>
      </c>
      <c r="H646" t="s">
        <v>1202</v>
      </c>
      <c r="I646" t="s">
        <v>1203</v>
      </c>
      <c r="J646" t="s">
        <v>1204</v>
      </c>
      <c r="K646" t="s">
        <v>1202</v>
      </c>
      <c r="L646" t="s">
        <v>1205</v>
      </c>
      <c r="M646" t="s">
        <v>918</v>
      </c>
      <c r="N646" t="s">
        <v>1220</v>
      </c>
      <c r="O646" t="s">
        <v>922</v>
      </c>
    </row>
    <row r="647" spans="1:15" x14ac:dyDescent="0.35">
      <c r="A647" t="s">
        <v>1293</v>
      </c>
      <c r="B647" t="s">
        <v>1294</v>
      </c>
      <c r="C647" t="s">
        <v>1200</v>
      </c>
      <c r="D647" t="s">
        <v>932</v>
      </c>
      <c r="E647">
        <v>160</v>
      </c>
      <c r="F647" t="s">
        <v>942</v>
      </c>
      <c r="G647">
        <v>2021</v>
      </c>
      <c r="H647" t="s">
        <v>1202</v>
      </c>
      <c r="I647" t="s">
        <v>1203</v>
      </c>
      <c r="J647" t="s">
        <v>1204</v>
      </c>
      <c r="K647" t="s">
        <v>1202</v>
      </c>
      <c r="L647" t="s">
        <v>1205</v>
      </c>
      <c r="M647" t="s">
        <v>952</v>
      </c>
      <c r="N647" t="s">
        <v>1220</v>
      </c>
      <c r="O647" t="s">
        <v>922</v>
      </c>
    </row>
    <row r="648" spans="1:15" x14ac:dyDescent="0.35">
      <c r="A648" t="s">
        <v>1295</v>
      </c>
      <c r="B648" t="s">
        <v>1296</v>
      </c>
      <c r="C648" t="s">
        <v>1200</v>
      </c>
      <c r="D648" t="s">
        <v>932</v>
      </c>
      <c r="E648">
        <v>160</v>
      </c>
      <c r="F648" t="s">
        <v>942</v>
      </c>
      <c r="G648">
        <v>2022</v>
      </c>
      <c r="H648" t="s">
        <v>1202</v>
      </c>
      <c r="I648" t="s">
        <v>1203</v>
      </c>
      <c r="J648" t="s">
        <v>1204</v>
      </c>
      <c r="K648" t="s">
        <v>1202</v>
      </c>
      <c r="L648" t="s">
        <v>1205</v>
      </c>
      <c r="M648" t="s">
        <v>952</v>
      </c>
      <c r="N648" t="s">
        <v>1220</v>
      </c>
      <c r="O648" t="s">
        <v>922</v>
      </c>
    </row>
    <row r="649" spans="1:15" x14ac:dyDescent="0.35">
      <c r="A649" t="s">
        <v>1297</v>
      </c>
      <c r="B649" t="s">
        <v>1298</v>
      </c>
      <c r="C649" t="s">
        <v>1200</v>
      </c>
      <c r="D649" t="s">
        <v>932</v>
      </c>
      <c r="E649">
        <v>160</v>
      </c>
      <c r="F649" t="s">
        <v>942</v>
      </c>
      <c r="G649">
        <v>2022</v>
      </c>
      <c r="H649" t="s">
        <v>1202</v>
      </c>
      <c r="I649" t="s">
        <v>1203</v>
      </c>
      <c r="J649" t="s">
        <v>1204</v>
      </c>
      <c r="K649" t="s">
        <v>1202</v>
      </c>
      <c r="L649" t="s">
        <v>1205</v>
      </c>
      <c r="M649" t="s">
        <v>952</v>
      </c>
      <c r="N649" t="s">
        <v>1220</v>
      </c>
      <c r="O649" t="s">
        <v>922</v>
      </c>
    </row>
    <row r="650" spans="1:15" x14ac:dyDescent="0.35">
      <c r="A650" t="s">
        <v>1299</v>
      </c>
      <c r="B650" t="s">
        <v>1300</v>
      </c>
      <c r="C650" t="s">
        <v>1200</v>
      </c>
      <c r="D650" t="s">
        <v>932</v>
      </c>
      <c r="E650">
        <v>160</v>
      </c>
      <c r="F650" t="s">
        <v>1006</v>
      </c>
      <c r="G650">
        <v>2019</v>
      </c>
      <c r="H650" t="s">
        <v>1202</v>
      </c>
      <c r="I650" t="s">
        <v>1203</v>
      </c>
      <c r="J650" t="s">
        <v>1204</v>
      </c>
      <c r="K650" t="s">
        <v>1202</v>
      </c>
      <c r="L650" t="s">
        <v>1205</v>
      </c>
      <c r="M650" t="s">
        <v>952</v>
      </c>
      <c r="N650" t="s">
        <v>1232</v>
      </c>
      <c r="O650" t="s">
        <v>922</v>
      </c>
    </row>
    <row r="651" spans="1:15" x14ac:dyDescent="0.35">
      <c r="A651" t="s">
        <v>1301</v>
      </c>
      <c r="B651" t="s">
        <v>1302</v>
      </c>
      <c r="C651" t="s">
        <v>1200</v>
      </c>
      <c r="D651" t="s">
        <v>932</v>
      </c>
      <c r="E651">
        <v>160</v>
      </c>
      <c r="F651" t="s">
        <v>1006</v>
      </c>
      <c r="G651">
        <v>2020</v>
      </c>
      <c r="H651" t="s">
        <v>1202</v>
      </c>
      <c r="I651" t="s">
        <v>1203</v>
      </c>
      <c r="J651" t="s">
        <v>1204</v>
      </c>
      <c r="K651" t="s">
        <v>1202</v>
      </c>
      <c r="L651" t="s">
        <v>1205</v>
      </c>
      <c r="M651" t="s">
        <v>952</v>
      </c>
      <c r="N651" t="s">
        <v>1232</v>
      </c>
      <c r="O651" t="s">
        <v>922</v>
      </c>
    </row>
    <row r="652" spans="1:15" x14ac:dyDescent="0.35">
      <c r="A652" t="s">
        <v>1303</v>
      </c>
      <c r="B652" t="s">
        <v>1304</v>
      </c>
      <c r="C652" t="s">
        <v>1200</v>
      </c>
      <c r="D652" t="s">
        <v>932</v>
      </c>
      <c r="E652">
        <v>160</v>
      </c>
      <c r="F652" t="s">
        <v>1006</v>
      </c>
      <c r="G652">
        <v>2020</v>
      </c>
      <c r="H652" t="s">
        <v>1202</v>
      </c>
      <c r="I652" t="s">
        <v>1203</v>
      </c>
      <c r="J652" t="s">
        <v>1204</v>
      </c>
      <c r="K652" t="s">
        <v>1202</v>
      </c>
      <c r="L652" t="s">
        <v>1205</v>
      </c>
      <c r="M652" t="s">
        <v>918</v>
      </c>
      <c r="N652" t="s">
        <v>1232</v>
      </c>
      <c r="O652" t="s">
        <v>922</v>
      </c>
    </row>
    <row r="653" spans="1:15" x14ac:dyDescent="0.35">
      <c r="A653" t="s">
        <v>1305</v>
      </c>
      <c r="B653" t="s">
        <v>1306</v>
      </c>
      <c r="C653" t="s">
        <v>1200</v>
      </c>
      <c r="D653" t="s">
        <v>932</v>
      </c>
      <c r="E653">
        <v>160</v>
      </c>
      <c r="F653" t="s">
        <v>1006</v>
      </c>
      <c r="G653">
        <v>2022</v>
      </c>
      <c r="H653" t="s">
        <v>1202</v>
      </c>
      <c r="I653" t="s">
        <v>1203</v>
      </c>
      <c r="J653" t="s">
        <v>1204</v>
      </c>
      <c r="K653" t="s">
        <v>1202</v>
      </c>
      <c r="L653" t="s">
        <v>1205</v>
      </c>
      <c r="M653" t="s">
        <v>952</v>
      </c>
      <c r="N653" t="s">
        <v>1232</v>
      </c>
      <c r="O653" t="s">
        <v>922</v>
      </c>
    </row>
    <row r="654" spans="1:15" x14ac:dyDescent="0.35">
      <c r="A654" t="s">
        <v>1307</v>
      </c>
      <c r="B654" t="s">
        <v>1308</v>
      </c>
      <c r="C654" t="s">
        <v>1200</v>
      </c>
      <c r="D654" t="s">
        <v>932</v>
      </c>
      <c r="E654">
        <v>160</v>
      </c>
      <c r="F654" t="s">
        <v>1006</v>
      </c>
      <c r="G654">
        <v>2022</v>
      </c>
      <c r="H654" t="s">
        <v>1202</v>
      </c>
      <c r="I654" t="s">
        <v>1203</v>
      </c>
      <c r="J654" t="s">
        <v>1204</v>
      </c>
      <c r="K654" t="s">
        <v>1202</v>
      </c>
      <c r="L654" t="s">
        <v>1205</v>
      </c>
      <c r="M654" t="s">
        <v>918</v>
      </c>
      <c r="N654" t="s">
        <v>1232</v>
      </c>
      <c r="O654" t="s">
        <v>922</v>
      </c>
    </row>
    <row r="655" spans="1:15" x14ac:dyDescent="0.35">
      <c r="A655" t="s">
        <v>1330</v>
      </c>
      <c r="B655" t="s">
        <v>1331</v>
      </c>
      <c r="C655" t="s">
        <v>1200</v>
      </c>
      <c r="D655" t="s">
        <v>932</v>
      </c>
      <c r="E655">
        <v>160</v>
      </c>
      <c r="F655" t="s">
        <v>958</v>
      </c>
      <c r="G655">
        <v>2020</v>
      </c>
      <c r="H655" t="s">
        <v>1202</v>
      </c>
      <c r="I655" t="s">
        <v>1203</v>
      </c>
      <c r="J655" t="s">
        <v>1204</v>
      </c>
      <c r="K655" t="s">
        <v>1202</v>
      </c>
      <c r="L655" t="s">
        <v>1205</v>
      </c>
      <c r="M655" t="s">
        <v>918</v>
      </c>
      <c r="N655" t="s">
        <v>1211</v>
      </c>
      <c r="O655" t="s">
        <v>922</v>
      </c>
    </row>
    <row r="656" spans="1:15" x14ac:dyDescent="0.35">
      <c r="A656" t="s">
        <v>838</v>
      </c>
      <c r="B656" t="s">
        <v>1332</v>
      </c>
      <c r="C656" t="s">
        <v>1200</v>
      </c>
      <c r="D656" t="s">
        <v>932</v>
      </c>
      <c r="E656">
        <v>160</v>
      </c>
      <c r="F656" t="s">
        <v>958</v>
      </c>
      <c r="G656">
        <v>2021</v>
      </c>
      <c r="H656" t="s">
        <v>1202</v>
      </c>
      <c r="I656" t="s">
        <v>1203</v>
      </c>
      <c r="J656" t="s">
        <v>1204</v>
      </c>
      <c r="K656" t="s">
        <v>1202</v>
      </c>
      <c r="L656" t="s">
        <v>1205</v>
      </c>
      <c r="M656" t="s">
        <v>918</v>
      </c>
      <c r="N656" t="s">
        <v>1211</v>
      </c>
      <c r="O656" t="s">
        <v>922</v>
      </c>
    </row>
    <row r="657" spans="1:15" x14ac:dyDescent="0.35">
      <c r="A657" t="s">
        <v>1333</v>
      </c>
      <c r="B657" t="s">
        <v>1334</v>
      </c>
      <c r="C657" t="s">
        <v>1200</v>
      </c>
      <c r="D657" t="s">
        <v>932</v>
      </c>
      <c r="E657">
        <v>160</v>
      </c>
      <c r="F657" t="s">
        <v>1006</v>
      </c>
      <c r="G657">
        <v>2020</v>
      </c>
      <c r="H657" t="s">
        <v>1202</v>
      </c>
      <c r="I657" t="s">
        <v>1203</v>
      </c>
      <c r="J657" t="s">
        <v>1204</v>
      </c>
      <c r="K657" t="s">
        <v>1202</v>
      </c>
      <c r="L657" t="s">
        <v>1205</v>
      </c>
      <c r="M657" t="s">
        <v>918</v>
      </c>
      <c r="N657" t="s">
        <v>1232</v>
      </c>
      <c r="O657" t="s">
        <v>922</v>
      </c>
    </row>
    <row r="658" spans="1:15" x14ac:dyDescent="0.35">
      <c r="A658" t="s">
        <v>840</v>
      </c>
      <c r="B658" t="s">
        <v>1335</v>
      </c>
      <c r="C658" t="s">
        <v>1200</v>
      </c>
      <c r="D658" t="s">
        <v>932</v>
      </c>
      <c r="E658">
        <v>160</v>
      </c>
      <c r="F658" t="s">
        <v>951</v>
      </c>
      <c r="G658">
        <v>2021</v>
      </c>
      <c r="H658" t="s">
        <v>1202</v>
      </c>
      <c r="I658" t="s">
        <v>1203</v>
      </c>
      <c r="J658" t="s">
        <v>1204</v>
      </c>
      <c r="K658" t="s">
        <v>1202</v>
      </c>
      <c r="L658" t="s">
        <v>1205</v>
      </c>
      <c r="M658" t="s">
        <v>918</v>
      </c>
      <c r="N658" t="s">
        <v>1238</v>
      </c>
      <c r="O658" t="s">
        <v>922</v>
      </c>
    </row>
    <row r="659" spans="1:15" x14ac:dyDescent="0.35">
      <c r="A659" t="s">
        <v>815</v>
      </c>
      <c r="B659" t="s">
        <v>1336</v>
      </c>
      <c r="C659" t="s">
        <v>1200</v>
      </c>
      <c r="D659" t="s">
        <v>932</v>
      </c>
      <c r="E659">
        <v>160</v>
      </c>
      <c r="F659" t="s">
        <v>917</v>
      </c>
      <c r="G659">
        <v>2019</v>
      </c>
      <c r="H659" t="s">
        <v>1202</v>
      </c>
      <c r="I659" t="s">
        <v>1203</v>
      </c>
      <c r="J659" t="s">
        <v>1204</v>
      </c>
      <c r="K659" t="s">
        <v>1202</v>
      </c>
      <c r="L659" t="s">
        <v>1205</v>
      </c>
      <c r="M659" t="s">
        <v>918</v>
      </c>
      <c r="N659" t="s">
        <v>1224</v>
      </c>
      <c r="O659" t="s">
        <v>922</v>
      </c>
    </row>
    <row r="660" spans="1:15" x14ac:dyDescent="0.35">
      <c r="A660" t="s">
        <v>1337</v>
      </c>
      <c r="B660" t="s">
        <v>1338</v>
      </c>
      <c r="C660" t="s">
        <v>1200</v>
      </c>
      <c r="D660" t="s">
        <v>932</v>
      </c>
      <c r="E660">
        <v>160</v>
      </c>
      <c r="F660" t="s">
        <v>933</v>
      </c>
      <c r="G660">
        <v>2019</v>
      </c>
      <c r="H660" t="s">
        <v>1202</v>
      </c>
      <c r="I660" t="s">
        <v>1203</v>
      </c>
      <c r="J660" t="s">
        <v>1204</v>
      </c>
      <c r="K660" t="s">
        <v>1202</v>
      </c>
      <c r="L660" t="s">
        <v>1205</v>
      </c>
      <c r="M660" t="s">
        <v>918</v>
      </c>
      <c r="N660" t="s">
        <v>1208</v>
      </c>
      <c r="O660" t="s">
        <v>922</v>
      </c>
    </row>
    <row r="661" spans="1:15" x14ac:dyDescent="0.35">
      <c r="A661" t="s">
        <v>1339</v>
      </c>
      <c r="B661" t="s">
        <v>1340</v>
      </c>
      <c r="C661" t="s">
        <v>1200</v>
      </c>
      <c r="D661" t="s">
        <v>932</v>
      </c>
      <c r="E661">
        <v>160</v>
      </c>
      <c r="F661" t="s">
        <v>933</v>
      </c>
      <c r="G661">
        <v>2022</v>
      </c>
      <c r="H661" t="s">
        <v>1202</v>
      </c>
      <c r="I661" t="s">
        <v>1203</v>
      </c>
      <c r="J661" t="s">
        <v>1204</v>
      </c>
      <c r="K661" t="s">
        <v>1202</v>
      </c>
      <c r="L661" t="s">
        <v>1205</v>
      </c>
      <c r="M661" t="s">
        <v>952</v>
      </c>
      <c r="N661" t="s">
        <v>1208</v>
      </c>
      <c r="O661" t="s">
        <v>922</v>
      </c>
    </row>
    <row r="662" spans="1:15" x14ac:dyDescent="0.35">
      <c r="A662" t="s">
        <v>1341</v>
      </c>
      <c r="B662" t="s">
        <v>1342</v>
      </c>
      <c r="C662" t="s">
        <v>1200</v>
      </c>
      <c r="D662" t="s">
        <v>932</v>
      </c>
      <c r="E662">
        <v>160</v>
      </c>
      <c r="F662" t="s">
        <v>951</v>
      </c>
      <c r="G662">
        <v>2020</v>
      </c>
      <c r="H662" t="s">
        <v>1202</v>
      </c>
      <c r="I662" t="s">
        <v>1203</v>
      </c>
      <c r="J662" t="s">
        <v>1204</v>
      </c>
      <c r="K662" t="s">
        <v>1202</v>
      </c>
      <c r="L662" t="s">
        <v>1205</v>
      </c>
      <c r="M662" t="s">
        <v>952</v>
      </c>
      <c r="N662" t="s">
        <v>1238</v>
      </c>
      <c r="O662" t="s">
        <v>922</v>
      </c>
    </row>
    <row r="663" spans="1:15" x14ac:dyDescent="0.35">
      <c r="A663" t="s">
        <v>1343</v>
      </c>
      <c r="B663" t="s">
        <v>1344</v>
      </c>
      <c r="C663" t="s">
        <v>1200</v>
      </c>
      <c r="D663" t="s">
        <v>932</v>
      </c>
      <c r="E663">
        <v>160</v>
      </c>
      <c r="F663" t="s">
        <v>1201</v>
      </c>
      <c r="G663">
        <v>2022</v>
      </c>
      <c r="H663" t="s">
        <v>1202</v>
      </c>
      <c r="I663" t="s">
        <v>1203</v>
      </c>
      <c r="J663" t="s">
        <v>1204</v>
      </c>
      <c r="K663" t="s">
        <v>1202</v>
      </c>
      <c r="L663" t="s">
        <v>1205</v>
      </c>
      <c r="M663" t="s">
        <v>952</v>
      </c>
      <c r="N663" t="s">
        <v>1206</v>
      </c>
      <c r="O663" t="s">
        <v>922</v>
      </c>
    </row>
    <row r="664" spans="1:15" x14ac:dyDescent="0.35">
      <c r="A664" t="s">
        <v>1345</v>
      </c>
      <c r="B664" t="s">
        <v>1346</v>
      </c>
      <c r="C664" t="s">
        <v>1200</v>
      </c>
      <c r="D664" t="s">
        <v>932</v>
      </c>
      <c r="E664">
        <v>160</v>
      </c>
      <c r="F664" t="s">
        <v>958</v>
      </c>
      <c r="G664">
        <v>2021</v>
      </c>
      <c r="H664" t="s">
        <v>1202</v>
      </c>
      <c r="I664" t="s">
        <v>1203</v>
      </c>
      <c r="J664" t="s">
        <v>1204</v>
      </c>
      <c r="K664" t="s">
        <v>1202</v>
      </c>
      <c r="L664" t="s">
        <v>1205</v>
      </c>
      <c r="M664" t="s">
        <v>952</v>
      </c>
      <c r="N664" t="s">
        <v>1211</v>
      </c>
      <c r="O664" t="s">
        <v>922</v>
      </c>
    </row>
    <row r="665" spans="1:15" x14ac:dyDescent="0.35">
      <c r="A665" t="s">
        <v>1347</v>
      </c>
      <c r="B665" t="s">
        <v>1348</v>
      </c>
      <c r="C665" t="s">
        <v>1200</v>
      </c>
      <c r="D665" t="s">
        <v>932</v>
      </c>
      <c r="E665">
        <v>160</v>
      </c>
      <c r="F665" t="s">
        <v>933</v>
      </c>
      <c r="G665">
        <v>2022</v>
      </c>
      <c r="H665" t="s">
        <v>1202</v>
      </c>
      <c r="I665" t="s">
        <v>1203</v>
      </c>
      <c r="J665" t="s">
        <v>1204</v>
      </c>
      <c r="K665" t="s">
        <v>1202</v>
      </c>
      <c r="L665" t="s">
        <v>1205</v>
      </c>
      <c r="M665" t="s">
        <v>952</v>
      </c>
      <c r="N665" t="s">
        <v>1208</v>
      </c>
      <c r="O665" t="s">
        <v>922</v>
      </c>
    </row>
    <row r="666" spans="1:15" x14ac:dyDescent="0.35">
      <c r="A666" t="s">
        <v>1349</v>
      </c>
      <c r="B666" t="s">
        <v>1350</v>
      </c>
      <c r="C666" t="s">
        <v>1200</v>
      </c>
      <c r="D666" t="s">
        <v>932</v>
      </c>
      <c r="E666">
        <v>160</v>
      </c>
      <c r="F666" t="s">
        <v>942</v>
      </c>
      <c r="G666">
        <v>2021</v>
      </c>
      <c r="H666" t="s">
        <v>1202</v>
      </c>
      <c r="I666" t="s">
        <v>1203</v>
      </c>
      <c r="J666" t="s">
        <v>1204</v>
      </c>
      <c r="K666" t="s">
        <v>1202</v>
      </c>
      <c r="L666" t="s">
        <v>1205</v>
      </c>
      <c r="M666" t="s">
        <v>952</v>
      </c>
      <c r="N666" t="s">
        <v>1220</v>
      </c>
      <c r="O666" t="s">
        <v>922</v>
      </c>
    </row>
    <row r="667" spans="1:15" x14ac:dyDescent="0.35">
      <c r="A667" t="s">
        <v>682</v>
      </c>
      <c r="B667" t="s">
        <v>625</v>
      </c>
      <c r="C667" t="s">
        <v>1200</v>
      </c>
      <c r="D667" t="s">
        <v>932</v>
      </c>
      <c r="E667">
        <v>160</v>
      </c>
      <c r="F667" t="s">
        <v>917</v>
      </c>
      <c r="G667">
        <v>2025</v>
      </c>
      <c r="H667" t="s">
        <v>1202</v>
      </c>
      <c r="I667" t="s">
        <v>1203</v>
      </c>
      <c r="J667" t="s">
        <v>1204</v>
      </c>
      <c r="K667" t="s">
        <v>1202</v>
      </c>
      <c r="L667" t="s">
        <v>1205</v>
      </c>
      <c r="M667" t="s">
        <v>952</v>
      </c>
      <c r="N667" t="s">
        <v>1224</v>
      </c>
      <c r="O667" t="s">
        <v>922</v>
      </c>
    </row>
    <row r="668" spans="1:15" x14ac:dyDescent="0.35">
      <c r="A668" t="s">
        <v>1351</v>
      </c>
      <c r="B668" t="s">
        <v>1352</v>
      </c>
      <c r="C668" t="s">
        <v>1200</v>
      </c>
      <c r="D668" t="s">
        <v>932</v>
      </c>
      <c r="E668">
        <v>160</v>
      </c>
      <c r="F668" t="s">
        <v>951</v>
      </c>
      <c r="G668">
        <v>2023</v>
      </c>
      <c r="H668" t="s">
        <v>1202</v>
      </c>
      <c r="I668" t="s">
        <v>1203</v>
      </c>
      <c r="J668" t="s">
        <v>1204</v>
      </c>
      <c r="K668" t="s">
        <v>1202</v>
      </c>
      <c r="L668" t="s">
        <v>1205</v>
      </c>
      <c r="M668" t="s">
        <v>969</v>
      </c>
      <c r="N668" t="s">
        <v>1238</v>
      </c>
      <c r="O668" t="s">
        <v>922</v>
      </c>
    </row>
    <row r="669" spans="1:15" x14ac:dyDescent="0.35">
      <c r="A669" t="s">
        <v>2531</v>
      </c>
      <c r="B669" t="s">
        <v>2532</v>
      </c>
      <c r="C669" t="s">
        <v>1200</v>
      </c>
      <c r="D669" t="s">
        <v>932</v>
      </c>
      <c r="E669">
        <v>160</v>
      </c>
      <c r="F669" t="s">
        <v>958</v>
      </c>
      <c r="G669">
        <v>2026</v>
      </c>
      <c r="H669" t="s">
        <v>1200</v>
      </c>
      <c r="I669" t="s">
        <v>1203</v>
      </c>
      <c r="J669" t="s">
        <v>1204</v>
      </c>
      <c r="K669" t="s">
        <v>1200</v>
      </c>
      <c r="M669" t="s">
        <v>920</v>
      </c>
      <c r="N669" t="s">
        <v>2533</v>
      </c>
      <c r="O669" t="s">
        <v>1217</v>
      </c>
    </row>
    <row r="670" spans="1:15" x14ac:dyDescent="0.35">
      <c r="A670" t="s">
        <v>2534</v>
      </c>
      <c r="B670" t="s">
        <v>2535</v>
      </c>
      <c r="C670" t="s">
        <v>1200</v>
      </c>
      <c r="D670" t="s">
        <v>932</v>
      </c>
      <c r="E670">
        <v>160</v>
      </c>
      <c r="F670" t="s">
        <v>942</v>
      </c>
      <c r="G670">
        <v>2026</v>
      </c>
      <c r="H670" t="s">
        <v>1200</v>
      </c>
      <c r="I670" t="s">
        <v>1203</v>
      </c>
      <c r="J670" t="s">
        <v>1204</v>
      </c>
      <c r="K670" t="s">
        <v>1200</v>
      </c>
      <c r="M670" t="s">
        <v>920</v>
      </c>
      <c r="N670" t="s">
        <v>2536</v>
      </c>
      <c r="O670" t="s">
        <v>1221</v>
      </c>
    </row>
    <row r="671" spans="1:15" x14ac:dyDescent="0.35">
      <c r="A671" t="s">
        <v>2537</v>
      </c>
      <c r="B671" t="s">
        <v>2538</v>
      </c>
      <c r="C671" t="s">
        <v>1200</v>
      </c>
      <c r="D671" t="s">
        <v>932</v>
      </c>
      <c r="E671">
        <v>160</v>
      </c>
      <c r="F671" t="s">
        <v>933</v>
      </c>
      <c r="G671">
        <v>2026</v>
      </c>
      <c r="H671" t="s">
        <v>1200</v>
      </c>
      <c r="I671" t="s">
        <v>1203</v>
      </c>
      <c r="J671" t="s">
        <v>1204</v>
      </c>
      <c r="K671" t="s">
        <v>1200</v>
      </c>
      <c r="M671" t="s">
        <v>920</v>
      </c>
      <c r="N671" t="s">
        <v>2539</v>
      </c>
      <c r="O671" t="s">
        <v>1214</v>
      </c>
    </row>
    <row r="672" spans="1:15" x14ac:dyDescent="0.35">
      <c r="A672" t="s">
        <v>2540</v>
      </c>
      <c r="B672" t="s">
        <v>2532</v>
      </c>
      <c r="C672" t="s">
        <v>1200</v>
      </c>
      <c r="D672" t="s">
        <v>932</v>
      </c>
      <c r="E672">
        <v>160</v>
      </c>
      <c r="F672" t="s">
        <v>958</v>
      </c>
      <c r="G672">
        <v>2026</v>
      </c>
      <c r="H672" t="s">
        <v>1200</v>
      </c>
      <c r="I672" t="s">
        <v>1203</v>
      </c>
      <c r="J672" t="s">
        <v>1204</v>
      </c>
      <c r="K672" t="s">
        <v>1200</v>
      </c>
      <c r="M672" t="s">
        <v>952</v>
      </c>
      <c r="N672" t="s">
        <v>2533</v>
      </c>
      <c r="O672" t="s">
        <v>1217</v>
      </c>
    </row>
    <row r="673" spans="1:15" x14ac:dyDescent="0.35">
      <c r="A673" t="s">
        <v>2541</v>
      </c>
      <c r="B673" t="s">
        <v>2535</v>
      </c>
      <c r="C673" t="s">
        <v>1200</v>
      </c>
      <c r="D673" t="s">
        <v>932</v>
      </c>
      <c r="E673">
        <v>160</v>
      </c>
      <c r="F673" t="s">
        <v>942</v>
      </c>
      <c r="G673">
        <v>2026</v>
      </c>
      <c r="H673" t="s">
        <v>1200</v>
      </c>
      <c r="I673" t="s">
        <v>1203</v>
      </c>
      <c r="J673" t="s">
        <v>1204</v>
      </c>
      <c r="K673" t="s">
        <v>1200</v>
      </c>
      <c r="M673" t="s">
        <v>952</v>
      </c>
      <c r="N673" t="s">
        <v>2536</v>
      </c>
      <c r="O673" t="s">
        <v>1221</v>
      </c>
    </row>
    <row r="674" spans="1:15" x14ac:dyDescent="0.35">
      <c r="A674" t="s">
        <v>2542</v>
      </c>
      <c r="B674" t="s">
        <v>2538</v>
      </c>
      <c r="C674" t="s">
        <v>1200</v>
      </c>
      <c r="D674" t="s">
        <v>932</v>
      </c>
      <c r="E674">
        <v>160</v>
      </c>
      <c r="F674" t="s">
        <v>933</v>
      </c>
      <c r="G674">
        <v>2026</v>
      </c>
      <c r="H674" t="s">
        <v>1200</v>
      </c>
      <c r="I674" t="s">
        <v>1203</v>
      </c>
      <c r="J674" t="s">
        <v>1204</v>
      </c>
      <c r="K674" t="s">
        <v>1200</v>
      </c>
      <c r="M674" t="s">
        <v>952</v>
      </c>
      <c r="N674" t="s">
        <v>2539</v>
      </c>
      <c r="O674" t="s">
        <v>1214</v>
      </c>
    </row>
    <row r="675" spans="1:15" x14ac:dyDescent="0.35">
      <c r="A675" t="s">
        <v>2543</v>
      </c>
      <c r="B675" t="s">
        <v>2532</v>
      </c>
      <c r="C675" t="s">
        <v>1200</v>
      </c>
      <c r="D675" t="s">
        <v>932</v>
      </c>
      <c r="E675">
        <v>160</v>
      </c>
      <c r="F675" t="s">
        <v>958</v>
      </c>
      <c r="G675">
        <v>2026</v>
      </c>
      <c r="H675" t="s">
        <v>1200</v>
      </c>
      <c r="I675" t="s">
        <v>1203</v>
      </c>
      <c r="J675" t="s">
        <v>1204</v>
      </c>
      <c r="K675" t="s">
        <v>1200</v>
      </c>
      <c r="M675" t="s">
        <v>918</v>
      </c>
      <c r="N675" t="s">
        <v>2533</v>
      </c>
      <c r="O675" t="s">
        <v>1217</v>
      </c>
    </row>
    <row r="676" spans="1:15" x14ac:dyDescent="0.35">
      <c r="A676" t="s">
        <v>747</v>
      </c>
      <c r="B676" t="s">
        <v>2535</v>
      </c>
      <c r="C676" t="s">
        <v>1200</v>
      </c>
      <c r="D676" t="s">
        <v>932</v>
      </c>
      <c r="E676">
        <v>160</v>
      </c>
      <c r="F676" t="s">
        <v>942</v>
      </c>
      <c r="G676">
        <v>2026</v>
      </c>
      <c r="H676" t="s">
        <v>1200</v>
      </c>
      <c r="I676" t="s">
        <v>1203</v>
      </c>
      <c r="J676" t="s">
        <v>1204</v>
      </c>
      <c r="K676" t="s">
        <v>1200</v>
      </c>
      <c r="M676" t="s">
        <v>918</v>
      </c>
      <c r="N676" t="s">
        <v>2536</v>
      </c>
      <c r="O676" t="s">
        <v>1221</v>
      </c>
    </row>
    <row r="677" spans="1:15" x14ac:dyDescent="0.35">
      <c r="A677" t="s">
        <v>748</v>
      </c>
      <c r="B677" t="s">
        <v>2538</v>
      </c>
      <c r="C677" t="s">
        <v>1200</v>
      </c>
      <c r="D677" t="s">
        <v>932</v>
      </c>
      <c r="E677">
        <v>160</v>
      </c>
      <c r="F677" t="s">
        <v>933</v>
      </c>
      <c r="G677">
        <v>2026</v>
      </c>
      <c r="H677" t="s">
        <v>1200</v>
      </c>
      <c r="I677" t="s">
        <v>1203</v>
      </c>
      <c r="J677" t="s">
        <v>1204</v>
      </c>
      <c r="K677" t="s">
        <v>1200</v>
      </c>
      <c r="M677" t="s">
        <v>918</v>
      </c>
      <c r="N677" t="s">
        <v>2539</v>
      </c>
      <c r="O677" t="s">
        <v>1214</v>
      </c>
    </row>
    <row r="678" spans="1:15" x14ac:dyDescent="0.35">
      <c r="A678" t="s">
        <v>2544</v>
      </c>
      <c r="B678" t="s">
        <v>2532</v>
      </c>
      <c r="C678" t="s">
        <v>1200</v>
      </c>
      <c r="D678" t="s">
        <v>932</v>
      </c>
      <c r="E678">
        <v>160</v>
      </c>
      <c r="F678" t="s">
        <v>958</v>
      </c>
      <c r="G678">
        <v>2026</v>
      </c>
      <c r="H678" t="s">
        <v>1200</v>
      </c>
      <c r="I678" t="s">
        <v>1203</v>
      </c>
      <c r="J678" t="s">
        <v>1204</v>
      </c>
      <c r="K678" t="s">
        <v>1200</v>
      </c>
      <c r="M678" t="s">
        <v>969</v>
      </c>
      <c r="N678" t="s">
        <v>2533</v>
      </c>
      <c r="O678" t="s">
        <v>1217</v>
      </c>
    </row>
    <row r="679" spans="1:15" x14ac:dyDescent="0.35">
      <c r="A679" t="s">
        <v>2545</v>
      </c>
      <c r="B679" t="s">
        <v>2535</v>
      </c>
      <c r="C679" t="s">
        <v>1200</v>
      </c>
      <c r="D679" t="s">
        <v>932</v>
      </c>
      <c r="E679">
        <v>160</v>
      </c>
      <c r="F679" t="s">
        <v>942</v>
      </c>
      <c r="G679">
        <v>2026</v>
      </c>
      <c r="H679" t="s">
        <v>1200</v>
      </c>
      <c r="I679" t="s">
        <v>1203</v>
      </c>
      <c r="J679" t="s">
        <v>1204</v>
      </c>
      <c r="K679" t="s">
        <v>1200</v>
      </c>
      <c r="M679" t="s">
        <v>969</v>
      </c>
      <c r="N679" t="s">
        <v>2536</v>
      </c>
      <c r="O679" t="s">
        <v>1221</v>
      </c>
    </row>
    <row r="680" spans="1:15" x14ac:dyDescent="0.35">
      <c r="A680" t="s">
        <v>2546</v>
      </c>
      <c r="B680" t="s">
        <v>2538</v>
      </c>
      <c r="C680" t="s">
        <v>1200</v>
      </c>
      <c r="D680" t="s">
        <v>932</v>
      </c>
      <c r="E680">
        <v>160</v>
      </c>
      <c r="F680" t="s">
        <v>933</v>
      </c>
      <c r="G680">
        <v>2026</v>
      </c>
      <c r="H680" t="s">
        <v>1200</v>
      </c>
      <c r="I680" t="s">
        <v>1203</v>
      </c>
      <c r="J680" t="s">
        <v>1204</v>
      </c>
      <c r="K680" t="s">
        <v>1200</v>
      </c>
      <c r="M680" t="s">
        <v>969</v>
      </c>
      <c r="N680" t="s">
        <v>2539</v>
      </c>
      <c r="O680" t="s">
        <v>1214</v>
      </c>
    </row>
    <row r="681" spans="1:15" x14ac:dyDescent="0.35">
      <c r="A681" t="s">
        <v>1209</v>
      </c>
      <c r="B681" t="s">
        <v>1210</v>
      </c>
      <c r="C681" t="s">
        <v>1202</v>
      </c>
      <c r="D681" t="s">
        <v>932</v>
      </c>
      <c r="E681">
        <v>160</v>
      </c>
      <c r="F681" t="s">
        <v>958</v>
      </c>
      <c r="G681">
        <v>2024</v>
      </c>
      <c r="H681" t="s">
        <v>1202</v>
      </c>
      <c r="I681" t="s">
        <v>1203</v>
      </c>
      <c r="J681" t="s">
        <v>1204</v>
      </c>
      <c r="K681" t="s">
        <v>1202</v>
      </c>
      <c r="L681" t="s">
        <v>1205</v>
      </c>
      <c r="M681" t="s">
        <v>920</v>
      </c>
      <c r="N681" t="s">
        <v>1211</v>
      </c>
      <c r="O681" t="s">
        <v>922</v>
      </c>
    </row>
    <row r="682" spans="1:15" x14ac:dyDescent="0.35">
      <c r="A682" t="s">
        <v>1212</v>
      </c>
      <c r="B682" t="s">
        <v>1213</v>
      </c>
      <c r="C682" t="s">
        <v>1202</v>
      </c>
      <c r="D682" t="s">
        <v>932</v>
      </c>
      <c r="E682">
        <v>160</v>
      </c>
      <c r="F682" t="s">
        <v>933</v>
      </c>
      <c r="G682">
        <v>2025</v>
      </c>
      <c r="H682" t="s">
        <v>1202</v>
      </c>
      <c r="I682" t="s">
        <v>1203</v>
      </c>
      <c r="J682" t="s">
        <v>1204</v>
      </c>
      <c r="K682" t="s">
        <v>1202</v>
      </c>
      <c r="L682" t="s">
        <v>1205</v>
      </c>
      <c r="M682" t="s">
        <v>920</v>
      </c>
      <c r="N682" t="s">
        <v>1208</v>
      </c>
      <c r="O682" t="s">
        <v>1214</v>
      </c>
    </row>
    <row r="683" spans="1:15" x14ac:dyDescent="0.35">
      <c r="A683" t="s">
        <v>1215</v>
      </c>
      <c r="B683" t="s">
        <v>1216</v>
      </c>
      <c r="C683" t="s">
        <v>1202</v>
      </c>
      <c r="D683" t="s">
        <v>932</v>
      </c>
      <c r="E683">
        <v>160</v>
      </c>
      <c r="F683" t="s">
        <v>958</v>
      </c>
      <c r="G683">
        <v>2025</v>
      </c>
      <c r="H683" t="s">
        <v>1202</v>
      </c>
      <c r="I683" t="s">
        <v>1203</v>
      </c>
      <c r="J683" t="s">
        <v>1204</v>
      </c>
      <c r="K683" t="s">
        <v>1202</v>
      </c>
      <c r="L683" t="s">
        <v>1205</v>
      </c>
      <c r="M683" t="s">
        <v>920</v>
      </c>
      <c r="N683" t="s">
        <v>1211</v>
      </c>
      <c r="O683" t="s">
        <v>1217</v>
      </c>
    </row>
    <row r="684" spans="1:15" x14ac:dyDescent="0.35">
      <c r="A684" t="s">
        <v>1218</v>
      </c>
      <c r="B684" t="s">
        <v>1219</v>
      </c>
      <c r="C684" t="s">
        <v>1202</v>
      </c>
      <c r="D684" t="s">
        <v>932</v>
      </c>
      <c r="E684">
        <v>160</v>
      </c>
      <c r="F684" t="s">
        <v>942</v>
      </c>
      <c r="G684">
        <v>2025</v>
      </c>
      <c r="H684" t="s">
        <v>1202</v>
      </c>
      <c r="I684" t="s">
        <v>1203</v>
      </c>
      <c r="J684" t="s">
        <v>1204</v>
      </c>
      <c r="K684" t="s">
        <v>1202</v>
      </c>
      <c r="L684" t="s">
        <v>1205</v>
      </c>
      <c r="M684" t="s">
        <v>920</v>
      </c>
      <c r="N684" t="s">
        <v>1220</v>
      </c>
      <c r="O684" t="s">
        <v>1221</v>
      </c>
    </row>
    <row r="685" spans="1:15" x14ac:dyDescent="0.35">
      <c r="A685" t="s">
        <v>1309</v>
      </c>
      <c r="B685" t="s">
        <v>1310</v>
      </c>
      <c r="C685" t="s">
        <v>1202</v>
      </c>
      <c r="D685" t="s">
        <v>932</v>
      </c>
      <c r="E685">
        <v>160</v>
      </c>
      <c r="F685" t="s">
        <v>933</v>
      </c>
      <c r="G685">
        <v>2024</v>
      </c>
      <c r="H685" t="s">
        <v>1202</v>
      </c>
      <c r="I685" t="s">
        <v>1203</v>
      </c>
      <c r="J685" t="s">
        <v>1204</v>
      </c>
      <c r="K685" t="s">
        <v>1202</v>
      </c>
      <c r="L685" t="s">
        <v>1205</v>
      </c>
      <c r="M685" t="s">
        <v>952</v>
      </c>
      <c r="N685" t="s">
        <v>1208</v>
      </c>
      <c r="O685" t="s">
        <v>922</v>
      </c>
    </row>
    <row r="686" spans="1:15" x14ac:dyDescent="0.35">
      <c r="A686" t="s">
        <v>1311</v>
      </c>
      <c r="B686" t="s">
        <v>1312</v>
      </c>
      <c r="C686" t="s">
        <v>1202</v>
      </c>
      <c r="D686" t="s">
        <v>932</v>
      </c>
      <c r="E686">
        <v>160</v>
      </c>
      <c r="F686" t="s">
        <v>933</v>
      </c>
      <c r="G686">
        <v>2024</v>
      </c>
      <c r="H686" t="s">
        <v>1202</v>
      </c>
      <c r="I686" t="s">
        <v>1203</v>
      </c>
      <c r="J686" t="s">
        <v>1204</v>
      </c>
      <c r="K686" t="s">
        <v>1202</v>
      </c>
      <c r="L686" t="s">
        <v>1205</v>
      </c>
      <c r="M686" t="s">
        <v>969</v>
      </c>
      <c r="N686" t="s">
        <v>1208</v>
      </c>
      <c r="O686" t="s">
        <v>922</v>
      </c>
    </row>
    <row r="687" spans="1:15" x14ac:dyDescent="0.35">
      <c r="A687" t="s">
        <v>292</v>
      </c>
      <c r="B687" t="s">
        <v>16</v>
      </c>
      <c r="C687" t="s">
        <v>1202</v>
      </c>
      <c r="D687" t="s">
        <v>932</v>
      </c>
      <c r="E687">
        <v>160</v>
      </c>
      <c r="F687" t="s">
        <v>933</v>
      </c>
      <c r="G687">
        <v>2024</v>
      </c>
      <c r="H687" t="s">
        <v>1202</v>
      </c>
      <c r="I687" t="s">
        <v>1203</v>
      </c>
      <c r="J687" t="s">
        <v>1204</v>
      </c>
      <c r="K687" t="s">
        <v>1202</v>
      </c>
      <c r="L687" t="s">
        <v>1205</v>
      </c>
      <c r="M687" t="s">
        <v>918</v>
      </c>
      <c r="N687" t="s">
        <v>1208</v>
      </c>
      <c r="O687" t="s">
        <v>922</v>
      </c>
    </row>
    <row r="688" spans="1:15" x14ac:dyDescent="0.35">
      <c r="A688" t="s">
        <v>668</v>
      </c>
      <c r="B688" t="s">
        <v>1313</v>
      </c>
      <c r="C688" t="s">
        <v>1202</v>
      </c>
      <c r="D688" t="s">
        <v>932</v>
      </c>
      <c r="E688">
        <v>160</v>
      </c>
      <c r="F688" t="s">
        <v>933</v>
      </c>
      <c r="G688">
        <v>2025</v>
      </c>
      <c r="H688" t="s">
        <v>1202</v>
      </c>
      <c r="I688" t="s">
        <v>1203</v>
      </c>
      <c r="J688" t="s">
        <v>1204</v>
      </c>
      <c r="K688" t="s">
        <v>1202</v>
      </c>
      <c r="L688" t="s">
        <v>1205</v>
      </c>
      <c r="M688" t="s">
        <v>952</v>
      </c>
      <c r="N688" t="s">
        <v>1208</v>
      </c>
      <c r="O688" t="s">
        <v>1214</v>
      </c>
    </row>
    <row r="689" spans="1:15" x14ac:dyDescent="0.35">
      <c r="A689" t="s">
        <v>1314</v>
      </c>
      <c r="B689" t="s">
        <v>1315</v>
      </c>
      <c r="C689" t="s">
        <v>1202</v>
      </c>
      <c r="D689" t="s">
        <v>932</v>
      </c>
      <c r="E689">
        <v>160</v>
      </c>
      <c r="F689" t="s">
        <v>933</v>
      </c>
      <c r="G689">
        <v>2025</v>
      </c>
      <c r="H689" t="s">
        <v>1202</v>
      </c>
      <c r="I689" t="s">
        <v>1203</v>
      </c>
      <c r="J689" t="s">
        <v>1204</v>
      </c>
      <c r="K689" t="s">
        <v>1202</v>
      </c>
      <c r="L689" t="s">
        <v>1205</v>
      </c>
      <c r="M689" t="s">
        <v>969</v>
      </c>
      <c r="N689" t="s">
        <v>1208</v>
      </c>
      <c r="O689" t="s">
        <v>1214</v>
      </c>
    </row>
    <row r="690" spans="1:15" x14ac:dyDescent="0.35">
      <c r="A690" t="s">
        <v>282</v>
      </c>
      <c r="B690" t="s">
        <v>106</v>
      </c>
      <c r="C690" t="s">
        <v>1202</v>
      </c>
      <c r="D690" t="s">
        <v>932</v>
      </c>
      <c r="E690">
        <v>160</v>
      </c>
      <c r="F690" t="s">
        <v>933</v>
      </c>
      <c r="G690">
        <v>2025</v>
      </c>
      <c r="H690" t="s">
        <v>1202</v>
      </c>
      <c r="I690" t="s">
        <v>1203</v>
      </c>
      <c r="J690" t="s">
        <v>1204</v>
      </c>
      <c r="K690" t="s">
        <v>1202</v>
      </c>
      <c r="L690" t="s">
        <v>1205</v>
      </c>
      <c r="M690" t="s">
        <v>918</v>
      </c>
      <c r="N690" t="s">
        <v>1208</v>
      </c>
      <c r="O690" t="s">
        <v>1214</v>
      </c>
    </row>
    <row r="691" spans="1:15" x14ac:dyDescent="0.35">
      <c r="A691" t="s">
        <v>1316</v>
      </c>
      <c r="B691" t="s">
        <v>1317</v>
      </c>
      <c r="C691" t="s">
        <v>1202</v>
      </c>
      <c r="D691" t="s">
        <v>932</v>
      </c>
      <c r="E691">
        <v>160</v>
      </c>
      <c r="F691" t="s">
        <v>958</v>
      </c>
      <c r="G691">
        <v>2024</v>
      </c>
      <c r="H691" t="s">
        <v>1202</v>
      </c>
      <c r="I691" t="s">
        <v>1203</v>
      </c>
      <c r="J691" t="s">
        <v>1204</v>
      </c>
      <c r="K691" t="s">
        <v>1202</v>
      </c>
      <c r="L691" t="s">
        <v>1205</v>
      </c>
      <c r="M691" t="s">
        <v>952</v>
      </c>
      <c r="N691" t="s">
        <v>1211</v>
      </c>
      <c r="O691" t="s">
        <v>922</v>
      </c>
    </row>
    <row r="692" spans="1:15" x14ac:dyDescent="0.35">
      <c r="A692" t="s">
        <v>1318</v>
      </c>
      <c r="B692" t="s">
        <v>1319</v>
      </c>
      <c r="C692" t="s">
        <v>1202</v>
      </c>
      <c r="D692" t="s">
        <v>932</v>
      </c>
      <c r="E692">
        <v>160</v>
      </c>
      <c r="F692" t="s">
        <v>958</v>
      </c>
      <c r="G692">
        <v>2024</v>
      </c>
      <c r="H692" t="s">
        <v>1202</v>
      </c>
      <c r="I692" t="s">
        <v>1203</v>
      </c>
      <c r="J692" t="s">
        <v>1204</v>
      </c>
      <c r="K692" t="s">
        <v>1202</v>
      </c>
      <c r="L692" t="s">
        <v>1205</v>
      </c>
      <c r="M692" t="s">
        <v>969</v>
      </c>
      <c r="N692" t="s">
        <v>1211</v>
      </c>
      <c r="O692" t="s">
        <v>922</v>
      </c>
    </row>
    <row r="693" spans="1:15" x14ac:dyDescent="0.35">
      <c r="A693" t="s">
        <v>277</v>
      </c>
      <c r="B693" t="s">
        <v>19</v>
      </c>
      <c r="C693" t="s">
        <v>1202</v>
      </c>
      <c r="D693" t="s">
        <v>932</v>
      </c>
      <c r="E693">
        <v>160</v>
      </c>
      <c r="F693" t="s">
        <v>958</v>
      </c>
      <c r="G693">
        <v>2024</v>
      </c>
      <c r="H693" t="s">
        <v>1202</v>
      </c>
      <c r="I693" t="s">
        <v>1203</v>
      </c>
      <c r="J693" t="s">
        <v>1204</v>
      </c>
      <c r="K693" t="s">
        <v>1202</v>
      </c>
      <c r="L693" t="s">
        <v>1205</v>
      </c>
      <c r="M693" t="s">
        <v>918</v>
      </c>
      <c r="N693" t="s">
        <v>1211</v>
      </c>
      <c r="O693" t="s">
        <v>922</v>
      </c>
    </row>
    <row r="694" spans="1:15" x14ac:dyDescent="0.35">
      <c r="A694" t="s">
        <v>669</v>
      </c>
      <c r="B694" t="s">
        <v>1320</v>
      </c>
      <c r="C694" t="s">
        <v>1202</v>
      </c>
      <c r="D694" t="s">
        <v>932</v>
      </c>
      <c r="E694">
        <v>160</v>
      </c>
      <c r="F694" t="s">
        <v>958</v>
      </c>
      <c r="G694">
        <v>2025</v>
      </c>
      <c r="H694" t="s">
        <v>1202</v>
      </c>
      <c r="I694" t="s">
        <v>1203</v>
      </c>
      <c r="J694" t="s">
        <v>1204</v>
      </c>
      <c r="K694" t="s">
        <v>1202</v>
      </c>
      <c r="L694" t="s">
        <v>1205</v>
      </c>
      <c r="M694" t="s">
        <v>952</v>
      </c>
      <c r="N694" t="s">
        <v>1211</v>
      </c>
      <c r="O694" t="s">
        <v>1217</v>
      </c>
    </row>
    <row r="695" spans="1:15" x14ac:dyDescent="0.35">
      <c r="A695" t="s">
        <v>1321</v>
      </c>
      <c r="B695" t="s">
        <v>1322</v>
      </c>
      <c r="C695" t="s">
        <v>1202</v>
      </c>
      <c r="D695" t="s">
        <v>932</v>
      </c>
      <c r="E695">
        <v>160</v>
      </c>
      <c r="F695" t="s">
        <v>958</v>
      </c>
      <c r="G695">
        <v>2025</v>
      </c>
      <c r="H695" t="s">
        <v>1202</v>
      </c>
      <c r="I695" t="s">
        <v>1203</v>
      </c>
      <c r="J695" t="s">
        <v>1204</v>
      </c>
      <c r="K695" t="s">
        <v>1202</v>
      </c>
      <c r="L695" t="s">
        <v>1205</v>
      </c>
      <c r="M695" t="s">
        <v>969</v>
      </c>
      <c r="N695" t="s">
        <v>1211</v>
      </c>
      <c r="O695" t="s">
        <v>1217</v>
      </c>
    </row>
    <row r="696" spans="1:15" x14ac:dyDescent="0.35">
      <c r="A696" t="s">
        <v>266</v>
      </c>
      <c r="B696" t="s">
        <v>108</v>
      </c>
      <c r="C696" t="s">
        <v>1202</v>
      </c>
      <c r="D696" t="s">
        <v>932</v>
      </c>
      <c r="E696">
        <v>160</v>
      </c>
      <c r="F696" t="s">
        <v>958</v>
      </c>
      <c r="G696">
        <v>2025</v>
      </c>
      <c r="H696" t="s">
        <v>1202</v>
      </c>
      <c r="I696" t="s">
        <v>1203</v>
      </c>
      <c r="J696" t="s">
        <v>1204</v>
      </c>
      <c r="K696" t="s">
        <v>1202</v>
      </c>
      <c r="L696" t="s">
        <v>1205</v>
      </c>
      <c r="M696" t="s">
        <v>918</v>
      </c>
      <c r="N696" t="s">
        <v>1211</v>
      </c>
      <c r="O696" t="s">
        <v>1217</v>
      </c>
    </row>
    <row r="697" spans="1:15" x14ac:dyDescent="0.35">
      <c r="A697" t="s">
        <v>1323</v>
      </c>
      <c r="B697" t="s">
        <v>1324</v>
      </c>
      <c r="C697" t="s">
        <v>1202</v>
      </c>
      <c r="D697" t="s">
        <v>932</v>
      </c>
      <c r="E697">
        <v>160</v>
      </c>
      <c r="F697" t="s">
        <v>942</v>
      </c>
      <c r="G697">
        <v>2024</v>
      </c>
      <c r="H697" t="s">
        <v>1202</v>
      </c>
      <c r="I697" t="s">
        <v>1203</v>
      </c>
      <c r="J697" t="s">
        <v>1204</v>
      </c>
      <c r="K697" t="s">
        <v>1202</v>
      </c>
      <c r="L697" t="s">
        <v>1205</v>
      </c>
      <c r="M697" t="s">
        <v>952</v>
      </c>
      <c r="N697" t="s">
        <v>1220</v>
      </c>
      <c r="O697" t="s">
        <v>922</v>
      </c>
    </row>
    <row r="698" spans="1:15" x14ac:dyDescent="0.35">
      <c r="A698" t="s">
        <v>1325</v>
      </c>
      <c r="B698" t="s">
        <v>1326</v>
      </c>
      <c r="C698" t="s">
        <v>1202</v>
      </c>
      <c r="D698" t="s">
        <v>932</v>
      </c>
      <c r="E698">
        <v>160</v>
      </c>
      <c r="F698" t="s">
        <v>942</v>
      </c>
      <c r="G698">
        <v>2024</v>
      </c>
      <c r="H698" t="s">
        <v>1202</v>
      </c>
      <c r="I698" t="s">
        <v>1203</v>
      </c>
      <c r="J698" t="s">
        <v>1204</v>
      </c>
      <c r="K698" t="s">
        <v>1202</v>
      </c>
      <c r="L698" t="s">
        <v>1205</v>
      </c>
      <c r="M698" t="s">
        <v>969</v>
      </c>
      <c r="N698" t="s">
        <v>1220</v>
      </c>
      <c r="O698" t="s">
        <v>922</v>
      </c>
    </row>
    <row r="699" spans="1:15" x14ac:dyDescent="0.35">
      <c r="A699" t="s">
        <v>295</v>
      </c>
      <c r="B699" t="s">
        <v>21</v>
      </c>
      <c r="C699" t="s">
        <v>1202</v>
      </c>
      <c r="D699" t="s">
        <v>932</v>
      </c>
      <c r="E699">
        <v>160</v>
      </c>
      <c r="F699" t="s">
        <v>942</v>
      </c>
      <c r="G699">
        <v>2024</v>
      </c>
      <c r="H699" t="s">
        <v>1202</v>
      </c>
      <c r="I699" t="s">
        <v>1203</v>
      </c>
      <c r="J699" t="s">
        <v>1204</v>
      </c>
      <c r="K699" t="s">
        <v>1202</v>
      </c>
      <c r="L699" t="s">
        <v>1205</v>
      </c>
      <c r="M699" t="s">
        <v>918</v>
      </c>
      <c r="N699" t="s">
        <v>1220</v>
      </c>
      <c r="O699" t="s">
        <v>922</v>
      </c>
    </row>
    <row r="700" spans="1:15" x14ac:dyDescent="0.35">
      <c r="A700" t="s">
        <v>670</v>
      </c>
      <c r="B700" t="s">
        <v>1327</v>
      </c>
      <c r="C700" t="s">
        <v>1202</v>
      </c>
      <c r="D700" t="s">
        <v>932</v>
      </c>
      <c r="E700">
        <v>160</v>
      </c>
      <c r="F700" t="s">
        <v>942</v>
      </c>
      <c r="G700">
        <v>2025</v>
      </c>
      <c r="H700" t="s">
        <v>1202</v>
      </c>
      <c r="I700" t="s">
        <v>1203</v>
      </c>
      <c r="J700" t="s">
        <v>1204</v>
      </c>
      <c r="K700" t="s">
        <v>1202</v>
      </c>
      <c r="L700" t="s">
        <v>1205</v>
      </c>
      <c r="M700" t="s">
        <v>952</v>
      </c>
      <c r="N700" t="s">
        <v>1220</v>
      </c>
      <c r="O700" t="s">
        <v>1221</v>
      </c>
    </row>
    <row r="701" spans="1:15" x14ac:dyDescent="0.35">
      <c r="A701" t="s">
        <v>1328</v>
      </c>
      <c r="B701" t="s">
        <v>1329</v>
      </c>
      <c r="C701" t="s">
        <v>1202</v>
      </c>
      <c r="D701" t="s">
        <v>932</v>
      </c>
      <c r="E701">
        <v>160</v>
      </c>
      <c r="F701" t="s">
        <v>942</v>
      </c>
      <c r="G701">
        <v>2025</v>
      </c>
      <c r="H701" t="s">
        <v>1202</v>
      </c>
      <c r="I701" t="s">
        <v>1203</v>
      </c>
      <c r="J701" t="s">
        <v>1204</v>
      </c>
      <c r="K701" t="s">
        <v>1202</v>
      </c>
      <c r="L701" t="s">
        <v>1205</v>
      </c>
      <c r="M701" t="s">
        <v>969</v>
      </c>
      <c r="N701" t="s">
        <v>1220</v>
      </c>
      <c r="O701" t="s">
        <v>1221</v>
      </c>
    </row>
    <row r="702" spans="1:15" x14ac:dyDescent="0.35">
      <c r="A702" t="s">
        <v>267</v>
      </c>
      <c r="B702" t="s">
        <v>110</v>
      </c>
      <c r="C702" t="s">
        <v>1202</v>
      </c>
      <c r="D702" t="s">
        <v>932</v>
      </c>
      <c r="E702">
        <v>160</v>
      </c>
      <c r="F702" t="s">
        <v>942</v>
      </c>
      <c r="G702">
        <v>2025</v>
      </c>
      <c r="H702" t="s">
        <v>1202</v>
      </c>
      <c r="I702" t="s">
        <v>1203</v>
      </c>
      <c r="J702" t="s">
        <v>1204</v>
      </c>
      <c r="K702" t="s">
        <v>1202</v>
      </c>
      <c r="L702" t="s">
        <v>1205</v>
      </c>
      <c r="M702" t="s">
        <v>918</v>
      </c>
      <c r="N702" t="s">
        <v>1220</v>
      </c>
      <c r="O702" t="s">
        <v>1221</v>
      </c>
    </row>
    <row r="703" spans="1:15" x14ac:dyDescent="0.35">
      <c r="A703" t="s">
        <v>2235</v>
      </c>
      <c r="B703" t="s">
        <v>2236</v>
      </c>
      <c r="C703" t="s">
        <v>1202</v>
      </c>
      <c r="D703" t="s">
        <v>932</v>
      </c>
      <c r="E703">
        <v>160</v>
      </c>
      <c r="F703" t="s">
        <v>958</v>
      </c>
      <c r="G703">
        <v>2026</v>
      </c>
      <c r="H703" t="s">
        <v>1202</v>
      </c>
      <c r="I703" t="s">
        <v>1202</v>
      </c>
      <c r="J703" t="s">
        <v>1204</v>
      </c>
      <c r="K703" t="s">
        <v>1202</v>
      </c>
      <c r="L703" t="s">
        <v>1205</v>
      </c>
      <c r="M703" t="s">
        <v>920</v>
      </c>
      <c r="N703" t="s">
        <v>1211</v>
      </c>
      <c r="O703" t="s">
        <v>1217</v>
      </c>
    </row>
    <row r="704" spans="1:15" x14ac:dyDescent="0.35">
      <c r="A704" t="s">
        <v>2237</v>
      </c>
      <c r="B704" t="s">
        <v>2238</v>
      </c>
      <c r="C704" t="s">
        <v>1202</v>
      </c>
      <c r="D704" t="s">
        <v>932</v>
      </c>
      <c r="E704">
        <v>160</v>
      </c>
      <c r="F704" t="s">
        <v>942</v>
      </c>
      <c r="G704">
        <v>2026</v>
      </c>
      <c r="H704" t="s">
        <v>1202</v>
      </c>
      <c r="I704" t="s">
        <v>1202</v>
      </c>
      <c r="J704" t="s">
        <v>1204</v>
      </c>
      <c r="K704" t="s">
        <v>1202</v>
      </c>
      <c r="L704" t="s">
        <v>1205</v>
      </c>
      <c r="M704" t="s">
        <v>920</v>
      </c>
      <c r="N704" t="s">
        <v>1220</v>
      </c>
      <c r="O704" t="s">
        <v>1221</v>
      </c>
    </row>
    <row r="705" spans="1:15" x14ac:dyDescent="0.35">
      <c r="A705" t="s">
        <v>2239</v>
      </c>
      <c r="B705" t="s">
        <v>2240</v>
      </c>
      <c r="C705" t="s">
        <v>1202</v>
      </c>
      <c r="D705" t="s">
        <v>932</v>
      </c>
      <c r="E705">
        <v>160</v>
      </c>
      <c r="F705" t="s">
        <v>933</v>
      </c>
      <c r="G705">
        <v>2026</v>
      </c>
      <c r="H705" t="s">
        <v>1202</v>
      </c>
      <c r="I705" t="s">
        <v>1202</v>
      </c>
      <c r="J705" t="s">
        <v>1204</v>
      </c>
      <c r="K705" t="s">
        <v>1202</v>
      </c>
      <c r="L705" t="s">
        <v>1205</v>
      </c>
      <c r="M705" t="s">
        <v>920</v>
      </c>
      <c r="N705" t="s">
        <v>1208</v>
      </c>
      <c r="O705" t="s">
        <v>1214</v>
      </c>
    </row>
    <row r="706" spans="1:15" x14ac:dyDescent="0.35">
      <c r="A706" t="s">
        <v>2355</v>
      </c>
      <c r="B706" t="s">
        <v>2356</v>
      </c>
      <c r="C706" t="s">
        <v>1202</v>
      </c>
      <c r="D706" t="s">
        <v>932</v>
      </c>
      <c r="E706">
        <v>160</v>
      </c>
      <c r="F706" t="s">
        <v>958</v>
      </c>
      <c r="G706">
        <v>2026</v>
      </c>
      <c r="H706" t="s">
        <v>1202</v>
      </c>
      <c r="I706" t="s">
        <v>1202</v>
      </c>
      <c r="J706" t="s">
        <v>1204</v>
      </c>
      <c r="K706" t="s">
        <v>1202</v>
      </c>
      <c r="L706" t="s">
        <v>1205</v>
      </c>
      <c r="M706" t="s">
        <v>952</v>
      </c>
      <c r="N706" t="s">
        <v>1211</v>
      </c>
      <c r="O706" t="s">
        <v>1217</v>
      </c>
    </row>
    <row r="707" spans="1:15" x14ac:dyDescent="0.35">
      <c r="A707" t="s">
        <v>2357</v>
      </c>
      <c r="B707" t="s">
        <v>2358</v>
      </c>
      <c r="C707" t="s">
        <v>1202</v>
      </c>
      <c r="D707" t="s">
        <v>932</v>
      </c>
      <c r="E707">
        <v>160</v>
      </c>
      <c r="F707" t="s">
        <v>942</v>
      </c>
      <c r="G707">
        <v>2026</v>
      </c>
      <c r="H707" t="s">
        <v>1202</v>
      </c>
      <c r="I707" t="s">
        <v>1202</v>
      </c>
      <c r="J707" t="s">
        <v>1204</v>
      </c>
      <c r="K707" t="s">
        <v>1202</v>
      </c>
      <c r="L707" t="s">
        <v>1205</v>
      </c>
      <c r="M707" t="s">
        <v>952</v>
      </c>
      <c r="N707" t="s">
        <v>1220</v>
      </c>
      <c r="O707" t="s">
        <v>1221</v>
      </c>
    </row>
    <row r="708" spans="1:15" x14ac:dyDescent="0.35">
      <c r="A708" t="s">
        <v>2359</v>
      </c>
      <c r="B708" t="s">
        <v>2360</v>
      </c>
      <c r="C708" t="s">
        <v>1202</v>
      </c>
      <c r="D708" t="s">
        <v>932</v>
      </c>
      <c r="E708">
        <v>160</v>
      </c>
      <c r="F708" t="s">
        <v>933</v>
      </c>
      <c r="G708">
        <v>2026</v>
      </c>
      <c r="H708" t="s">
        <v>1202</v>
      </c>
      <c r="I708" t="s">
        <v>1202</v>
      </c>
      <c r="J708" t="s">
        <v>1204</v>
      </c>
      <c r="K708" t="s">
        <v>1202</v>
      </c>
      <c r="L708" t="s">
        <v>1205</v>
      </c>
      <c r="M708" t="s">
        <v>952</v>
      </c>
      <c r="N708" t="s">
        <v>1208</v>
      </c>
      <c r="O708" t="s">
        <v>1214</v>
      </c>
    </row>
    <row r="709" spans="1:15" x14ac:dyDescent="0.35">
      <c r="A709" t="s">
        <v>312</v>
      </c>
      <c r="B709" t="s">
        <v>2356</v>
      </c>
      <c r="C709" t="s">
        <v>1202</v>
      </c>
      <c r="D709" t="s">
        <v>932</v>
      </c>
      <c r="E709">
        <v>160</v>
      </c>
      <c r="F709" t="s">
        <v>958</v>
      </c>
      <c r="G709">
        <v>2026</v>
      </c>
      <c r="H709" t="s">
        <v>1202</v>
      </c>
      <c r="I709" t="s">
        <v>1202</v>
      </c>
      <c r="J709" t="s">
        <v>1204</v>
      </c>
      <c r="K709" t="s">
        <v>1202</v>
      </c>
      <c r="L709" t="s">
        <v>1205</v>
      </c>
      <c r="M709" t="s">
        <v>918</v>
      </c>
      <c r="N709" t="s">
        <v>1211</v>
      </c>
      <c r="O709" t="s">
        <v>1217</v>
      </c>
    </row>
    <row r="710" spans="1:15" x14ac:dyDescent="0.35">
      <c r="A710" t="s">
        <v>311</v>
      </c>
      <c r="B710" t="s">
        <v>2358</v>
      </c>
      <c r="C710" t="s">
        <v>1202</v>
      </c>
      <c r="D710" t="s">
        <v>932</v>
      </c>
      <c r="E710">
        <v>160</v>
      </c>
      <c r="F710" t="s">
        <v>942</v>
      </c>
      <c r="G710">
        <v>2026</v>
      </c>
      <c r="H710" t="s">
        <v>1202</v>
      </c>
      <c r="I710" t="s">
        <v>1202</v>
      </c>
      <c r="J710" t="s">
        <v>1204</v>
      </c>
      <c r="K710" t="s">
        <v>1202</v>
      </c>
      <c r="L710" t="s">
        <v>1205</v>
      </c>
      <c r="M710" t="s">
        <v>918</v>
      </c>
      <c r="N710" t="s">
        <v>1220</v>
      </c>
      <c r="O710" t="s">
        <v>1221</v>
      </c>
    </row>
    <row r="711" spans="1:15" x14ac:dyDescent="0.35">
      <c r="A711" t="s">
        <v>310</v>
      </c>
      <c r="B711" t="s">
        <v>2360</v>
      </c>
      <c r="C711" t="s">
        <v>1202</v>
      </c>
      <c r="D711" t="s">
        <v>932</v>
      </c>
      <c r="E711">
        <v>160</v>
      </c>
      <c r="F711" t="s">
        <v>933</v>
      </c>
      <c r="G711">
        <v>2026</v>
      </c>
      <c r="H711" t="s">
        <v>1202</v>
      </c>
      <c r="I711" t="s">
        <v>1202</v>
      </c>
      <c r="J711" t="s">
        <v>1204</v>
      </c>
      <c r="K711" t="s">
        <v>1202</v>
      </c>
      <c r="L711" t="s">
        <v>1205</v>
      </c>
      <c r="M711" t="s">
        <v>918</v>
      </c>
      <c r="N711" t="s">
        <v>1208</v>
      </c>
      <c r="O711" t="s">
        <v>1214</v>
      </c>
    </row>
    <row r="712" spans="1:15" x14ac:dyDescent="0.35">
      <c r="A712" t="s">
        <v>2444</v>
      </c>
      <c r="B712" t="s">
        <v>2356</v>
      </c>
      <c r="C712" t="s">
        <v>1202</v>
      </c>
      <c r="D712" t="s">
        <v>932</v>
      </c>
      <c r="E712">
        <v>160</v>
      </c>
      <c r="F712" t="s">
        <v>958</v>
      </c>
      <c r="G712">
        <v>2026</v>
      </c>
      <c r="H712" t="s">
        <v>1202</v>
      </c>
      <c r="I712" t="s">
        <v>1202</v>
      </c>
      <c r="J712" t="s">
        <v>1204</v>
      </c>
      <c r="K712" t="s">
        <v>1202</v>
      </c>
      <c r="L712" t="s">
        <v>1205</v>
      </c>
      <c r="M712" t="s">
        <v>969</v>
      </c>
      <c r="N712" t="s">
        <v>1211</v>
      </c>
      <c r="O712" t="s">
        <v>1217</v>
      </c>
    </row>
    <row r="713" spans="1:15" x14ac:dyDescent="0.35">
      <c r="A713" t="s">
        <v>2445</v>
      </c>
      <c r="B713" t="s">
        <v>2358</v>
      </c>
      <c r="C713" t="s">
        <v>1202</v>
      </c>
      <c r="D713" t="s">
        <v>932</v>
      </c>
      <c r="E713">
        <v>160</v>
      </c>
      <c r="F713" t="s">
        <v>942</v>
      </c>
      <c r="G713">
        <v>2026</v>
      </c>
      <c r="H713" t="s">
        <v>1202</v>
      </c>
      <c r="I713" t="s">
        <v>1202</v>
      </c>
      <c r="J713" t="s">
        <v>1204</v>
      </c>
      <c r="K713" t="s">
        <v>1202</v>
      </c>
      <c r="L713" t="s">
        <v>1205</v>
      </c>
      <c r="M713" t="s">
        <v>969</v>
      </c>
      <c r="N713" t="s">
        <v>1220</v>
      </c>
      <c r="O713" t="s">
        <v>1221</v>
      </c>
    </row>
    <row r="714" spans="1:15" x14ac:dyDescent="0.35">
      <c r="A714" t="s">
        <v>2446</v>
      </c>
      <c r="B714" t="s">
        <v>2360</v>
      </c>
      <c r="C714" t="s">
        <v>1202</v>
      </c>
      <c r="D714" t="s">
        <v>932</v>
      </c>
      <c r="E714">
        <v>160</v>
      </c>
      <c r="F714" t="s">
        <v>933</v>
      </c>
      <c r="G714">
        <v>2026</v>
      </c>
      <c r="H714" t="s">
        <v>1202</v>
      </c>
      <c r="I714" t="s">
        <v>1202</v>
      </c>
      <c r="J714" t="s">
        <v>1204</v>
      </c>
      <c r="K714" t="s">
        <v>1202</v>
      </c>
      <c r="L714" t="s">
        <v>1205</v>
      </c>
      <c r="M714" t="s">
        <v>969</v>
      </c>
      <c r="N714" t="s">
        <v>1208</v>
      </c>
      <c r="O714" t="s">
        <v>1214</v>
      </c>
    </row>
    <row r="715" spans="1:15" x14ac:dyDescent="0.35">
      <c r="A715" t="s">
        <v>1088</v>
      </c>
      <c r="B715" t="s">
        <v>1089</v>
      </c>
      <c r="C715" t="s">
        <v>1090</v>
      </c>
      <c r="D715" t="s">
        <v>932</v>
      </c>
      <c r="E715">
        <v>200</v>
      </c>
      <c r="F715" t="s">
        <v>951</v>
      </c>
      <c r="G715">
        <v>2022</v>
      </c>
      <c r="H715" t="s">
        <v>1090</v>
      </c>
      <c r="I715" t="s">
        <v>1065</v>
      </c>
      <c r="J715" t="s">
        <v>1066</v>
      </c>
      <c r="K715" t="s">
        <v>1064</v>
      </c>
      <c r="L715" t="s">
        <v>1067</v>
      </c>
      <c r="M715" t="s">
        <v>952</v>
      </c>
      <c r="N715" t="s">
        <v>1091</v>
      </c>
      <c r="O715" t="s">
        <v>922</v>
      </c>
    </row>
    <row r="716" spans="1:15" x14ac:dyDescent="0.35">
      <c r="A716" t="s">
        <v>1092</v>
      </c>
      <c r="B716" t="s">
        <v>1093</v>
      </c>
      <c r="C716" t="s">
        <v>1090</v>
      </c>
      <c r="D716" t="s">
        <v>932</v>
      </c>
      <c r="E716">
        <v>200</v>
      </c>
      <c r="F716" t="s">
        <v>917</v>
      </c>
      <c r="G716">
        <v>2020</v>
      </c>
      <c r="H716" t="s">
        <v>1090</v>
      </c>
      <c r="I716" t="s">
        <v>1065</v>
      </c>
      <c r="J716" t="s">
        <v>1066</v>
      </c>
      <c r="K716" t="s">
        <v>1064</v>
      </c>
      <c r="L716" t="s">
        <v>1067</v>
      </c>
      <c r="M716" t="s">
        <v>952</v>
      </c>
      <c r="N716" t="s">
        <v>1094</v>
      </c>
      <c r="O716" t="s">
        <v>922</v>
      </c>
    </row>
    <row r="717" spans="1:15" x14ac:dyDescent="0.35">
      <c r="A717" t="s">
        <v>1095</v>
      </c>
      <c r="B717" t="s">
        <v>1096</v>
      </c>
      <c r="C717" t="s">
        <v>1090</v>
      </c>
      <c r="D717" t="s">
        <v>932</v>
      </c>
      <c r="E717">
        <v>200</v>
      </c>
      <c r="F717" t="s">
        <v>917</v>
      </c>
      <c r="G717">
        <v>2020</v>
      </c>
      <c r="H717" t="s">
        <v>1090</v>
      </c>
      <c r="I717" t="s">
        <v>1065</v>
      </c>
      <c r="J717" t="s">
        <v>1066</v>
      </c>
      <c r="K717" t="s">
        <v>1064</v>
      </c>
      <c r="L717" t="s">
        <v>1067</v>
      </c>
      <c r="M717" t="s">
        <v>918</v>
      </c>
      <c r="N717" t="s">
        <v>1094</v>
      </c>
      <c r="O717" t="s">
        <v>922</v>
      </c>
    </row>
    <row r="718" spans="1:15" x14ac:dyDescent="0.35">
      <c r="A718" t="s">
        <v>1097</v>
      </c>
      <c r="B718" t="s">
        <v>1098</v>
      </c>
      <c r="C718" t="s">
        <v>1090</v>
      </c>
      <c r="D718" t="s">
        <v>932</v>
      </c>
      <c r="E718">
        <v>200</v>
      </c>
      <c r="F718" t="s">
        <v>917</v>
      </c>
      <c r="G718">
        <v>2021</v>
      </c>
      <c r="H718" t="s">
        <v>1090</v>
      </c>
      <c r="I718" t="s">
        <v>1065</v>
      </c>
      <c r="J718" t="s">
        <v>1066</v>
      </c>
      <c r="K718" t="s">
        <v>1064</v>
      </c>
      <c r="L718" t="s">
        <v>1067</v>
      </c>
      <c r="M718" t="s">
        <v>952</v>
      </c>
      <c r="N718" t="s">
        <v>1094</v>
      </c>
      <c r="O718" t="s">
        <v>922</v>
      </c>
    </row>
    <row r="719" spans="1:15" x14ac:dyDescent="0.35">
      <c r="A719" t="s">
        <v>849</v>
      </c>
      <c r="B719" t="s">
        <v>1099</v>
      </c>
      <c r="C719" t="s">
        <v>1090</v>
      </c>
      <c r="D719" t="s">
        <v>932</v>
      </c>
      <c r="E719">
        <v>200</v>
      </c>
      <c r="F719" t="s">
        <v>917</v>
      </c>
      <c r="G719">
        <v>2021</v>
      </c>
      <c r="H719" t="s">
        <v>1090</v>
      </c>
      <c r="I719" t="s">
        <v>1065</v>
      </c>
      <c r="J719" t="s">
        <v>1066</v>
      </c>
      <c r="K719" t="s">
        <v>1064</v>
      </c>
      <c r="L719" t="s">
        <v>1067</v>
      </c>
      <c r="M719" t="s">
        <v>918</v>
      </c>
      <c r="N719" t="s">
        <v>1094</v>
      </c>
      <c r="O719" t="s">
        <v>922</v>
      </c>
    </row>
    <row r="720" spans="1:15" x14ac:dyDescent="0.35">
      <c r="A720" t="s">
        <v>373</v>
      </c>
      <c r="B720" t="s">
        <v>1100</v>
      </c>
      <c r="C720" t="s">
        <v>1090</v>
      </c>
      <c r="D720" t="s">
        <v>932</v>
      </c>
      <c r="E720">
        <v>200</v>
      </c>
      <c r="F720" t="s">
        <v>917</v>
      </c>
      <c r="G720">
        <v>2022</v>
      </c>
      <c r="H720" t="s">
        <v>1090</v>
      </c>
      <c r="I720" t="s">
        <v>1065</v>
      </c>
      <c r="J720" t="s">
        <v>1066</v>
      </c>
      <c r="K720" t="s">
        <v>1064</v>
      </c>
      <c r="L720" t="s">
        <v>1067</v>
      </c>
      <c r="M720" t="s">
        <v>918</v>
      </c>
      <c r="N720" t="s">
        <v>1094</v>
      </c>
      <c r="O720" t="s">
        <v>922</v>
      </c>
    </row>
    <row r="721" spans="1:15" x14ac:dyDescent="0.35">
      <c r="A721" t="s">
        <v>1101</v>
      </c>
      <c r="B721" t="s">
        <v>1102</v>
      </c>
      <c r="C721" t="s">
        <v>1090</v>
      </c>
      <c r="D721" t="s">
        <v>932</v>
      </c>
      <c r="E721">
        <v>200</v>
      </c>
      <c r="F721" t="s">
        <v>958</v>
      </c>
      <c r="G721">
        <v>2022</v>
      </c>
      <c r="H721" t="s">
        <v>1090</v>
      </c>
      <c r="I721" t="s">
        <v>1065</v>
      </c>
      <c r="J721" t="s">
        <v>1066</v>
      </c>
      <c r="K721" t="s">
        <v>1064</v>
      </c>
      <c r="L721" t="s">
        <v>1067</v>
      </c>
      <c r="M721" t="s">
        <v>952</v>
      </c>
      <c r="N721" t="s">
        <v>1072</v>
      </c>
      <c r="O721" t="s">
        <v>922</v>
      </c>
    </row>
    <row r="722" spans="1:15" x14ac:dyDescent="0.35">
      <c r="A722" t="s">
        <v>394</v>
      </c>
      <c r="B722" t="s">
        <v>43</v>
      </c>
      <c r="C722" t="s">
        <v>1090</v>
      </c>
      <c r="D722" t="s">
        <v>932</v>
      </c>
      <c r="E722">
        <v>200</v>
      </c>
      <c r="F722" t="s">
        <v>958</v>
      </c>
      <c r="G722">
        <v>2022</v>
      </c>
      <c r="H722" t="s">
        <v>1090</v>
      </c>
      <c r="I722" t="s">
        <v>1065</v>
      </c>
      <c r="J722" t="s">
        <v>1066</v>
      </c>
      <c r="K722" t="s">
        <v>1064</v>
      </c>
      <c r="L722" t="s">
        <v>1067</v>
      </c>
      <c r="M722" t="s">
        <v>918</v>
      </c>
      <c r="N722" t="s">
        <v>1072</v>
      </c>
      <c r="O722" t="s">
        <v>922</v>
      </c>
    </row>
    <row r="723" spans="1:15" x14ac:dyDescent="0.35">
      <c r="A723" t="s">
        <v>365</v>
      </c>
      <c r="B723" t="s">
        <v>1103</v>
      </c>
      <c r="C723" t="s">
        <v>1090</v>
      </c>
      <c r="D723" t="s">
        <v>932</v>
      </c>
      <c r="E723">
        <v>200</v>
      </c>
      <c r="F723" t="s">
        <v>958</v>
      </c>
      <c r="G723">
        <v>2023</v>
      </c>
      <c r="H723" t="s">
        <v>1090</v>
      </c>
      <c r="I723" t="s">
        <v>1065</v>
      </c>
      <c r="J723" t="s">
        <v>1066</v>
      </c>
      <c r="K723" t="s">
        <v>1064</v>
      </c>
      <c r="L723" t="s">
        <v>1067</v>
      </c>
      <c r="M723" t="s">
        <v>918</v>
      </c>
      <c r="N723" t="s">
        <v>1072</v>
      </c>
      <c r="O723" t="s">
        <v>922</v>
      </c>
    </row>
    <row r="724" spans="1:15" x14ac:dyDescent="0.35">
      <c r="A724" t="s">
        <v>1104</v>
      </c>
      <c r="B724" t="s">
        <v>1105</v>
      </c>
      <c r="C724" t="s">
        <v>1090</v>
      </c>
      <c r="D724" t="s">
        <v>932</v>
      </c>
      <c r="E724">
        <v>200</v>
      </c>
      <c r="F724" t="s">
        <v>933</v>
      </c>
      <c r="G724">
        <v>2021</v>
      </c>
      <c r="H724" t="s">
        <v>1090</v>
      </c>
      <c r="I724" t="s">
        <v>1065</v>
      </c>
      <c r="J724" t="s">
        <v>1066</v>
      </c>
      <c r="K724" t="s">
        <v>1064</v>
      </c>
      <c r="L724" t="s">
        <v>1067</v>
      </c>
      <c r="M724" t="s">
        <v>952</v>
      </c>
      <c r="N724" t="s">
        <v>1068</v>
      </c>
      <c r="O724" t="s">
        <v>922</v>
      </c>
    </row>
    <row r="725" spans="1:15" x14ac:dyDescent="0.35">
      <c r="A725" t="s">
        <v>395</v>
      </c>
      <c r="B725" t="s">
        <v>44</v>
      </c>
      <c r="C725" t="s">
        <v>1090</v>
      </c>
      <c r="D725" t="s">
        <v>932</v>
      </c>
      <c r="E725">
        <v>200</v>
      </c>
      <c r="F725" t="s">
        <v>933</v>
      </c>
      <c r="G725">
        <v>2021</v>
      </c>
      <c r="H725" t="s">
        <v>1090</v>
      </c>
      <c r="I725" t="s">
        <v>1065</v>
      </c>
      <c r="J725" t="s">
        <v>1066</v>
      </c>
      <c r="K725" t="s">
        <v>1064</v>
      </c>
      <c r="L725" t="s">
        <v>1067</v>
      </c>
      <c r="M725" t="s">
        <v>918</v>
      </c>
      <c r="N725" t="s">
        <v>1068</v>
      </c>
      <c r="O725" t="s">
        <v>922</v>
      </c>
    </row>
    <row r="726" spans="1:15" x14ac:dyDescent="0.35">
      <c r="A726" t="s">
        <v>1106</v>
      </c>
      <c r="B726" t="s">
        <v>1107</v>
      </c>
      <c r="C726" t="s">
        <v>1090</v>
      </c>
      <c r="D726" t="s">
        <v>932</v>
      </c>
      <c r="E726">
        <v>200</v>
      </c>
      <c r="F726" t="s">
        <v>933</v>
      </c>
      <c r="G726">
        <v>2022</v>
      </c>
      <c r="H726" t="s">
        <v>1090</v>
      </c>
      <c r="I726" t="s">
        <v>1065</v>
      </c>
      <c r="J726" t="s">
        <v>1066</v>
      </c>
      <c r="K726" t="s">
        <v>1064</v>
      </c>
      <c r="L726" t="s">
        <v>1067</v>
      </c>
      <c r="M726" t="s">
        <v>952</v>
      </c>
      <c r="N726" t="s">
        <v>1068</v>
      </c>
      <c r="O726" t="s">
        <v>922</v>
      </c>
    </row>
    <row r="727" spans="1:15" x14ac:dyDescent="0.35">
      <c r="A727" t="s">
        <v>396</v>
      </c>
      <c r="B727" t="s">
        <v>45</v>
      </c>
      <c r="C727" t="s">
        <v>1090</v>
      </c>
      <c r="D727" t="s">
        <v>932</v>
      </c>
      <c r="E727">
        <v>200</v>
      </c>
      <c r="F727" t="s">
        <v>933</v>
      </c>
      <c r="G727">
        <v>2022</v>
      </c>
      <c r="H727" t="s">
        <v>1090</v>
      </c>
      <c r="I727" t="s">
        <v>1065</v>
      </c>
      <c r="J727" t="s">
        <v>1066</v>
      </c>
      <c r="K727" t="s">
        <v>1064</v>
      </c>
      <c r="L727" t="s">
        <v>1067</v>
      </c>
      <c r="M727" t="s">
        <v>918</v>
      </c>
      <c r="N727" t="s">
        <v>1068</v>
      </c>
      <c r="O727" t="s">
        <v>922</v>
      </c>
    </row>
    <row r="728" spans="1:15" x14ac:dyDescent="0.35">
      <c r="A728" t="s">
        <v>1108</v>
      </c>
      <c r="B728" t="s">
        <v>1109</v>
      </c>
      <c r="C728" t="s">
        <v>1090</v>
      </c>
      <c r="D728" t="s">
        <v>932</v>
      </c>
      <c r="E728">
        <v>200</v>
      </c>
      <c r="F728" t="s">
        <v>933</v>
      </c>
      <c r="G728">
        <v>2023</v>
      </c>
      <c r="H728" t="s">
        <v>1090</v>
      </c>
      <c r="I728" t="s">
        <v>1065</v>
      </c>
      <c r="J728" t="s">
        <v>1066</v>
      </c>
      <c r="K728" t="s">
        <v>1064</v>
      </c>
      <c r="L728" t="s">
        <v>1067</v>
      </c>
      <c r="M728" t="s">
        <v>952</v>
      </c>
      <c r="N728" t="s">
        <v>1068</v>
      </c>
      <c r="O728" t="s">
        <v>922</v>
      </c>
    </row>
    <row r="729" spans="1:15" x14ac:dyDescent="0.35">
      <c r="A729" t="s">
        <v>1110</v>
      </c>
      <c r="B729" t="s">
        <v>1111</v>
      </c>
      <c r="C729" t="s">
        <v>1090</v>
      </c>
      <c r="D729" t="s">
        <v>932</v>
      </c>
      <c r="E729">
        <v>200</v>
      </c>
      <c r="F729" t="s">
        <v>933</v>
      </c>
      <c r="G729">
        <v>2023</v>
      </c>
      <c r="H729" t="s">
        <v>1090</v>
      </c>
      <c r="I729" t="s">
        <v>1065</v>
      </c>
      <c r="J729" t="s">
        <v>1066</v>
      </c>
      <c r="K729" t="s">
        <v>1064</v>
      </c>
      <c r="L729" t="s">
        <v>1067</v>
      </c>
      <c r="M729" t="s">
        <v>969</v>
      </c>
      <c r="N729" t="s">
        <v>1068</v>
      </c>
      <c r="O729" t="s">
        <v>922</v>
      </c>
    </row>
    <row r="730" spans="1:15" x14ac:dyDescent="0.35">
      <c r="A730" t="s">
        <v>317</v>
      </c>
      <c r="B730" t="s">
        <v>46</v>
      </c>
      <c r="C730" t="s">
        <v>1090</v>
      </c>
      <c r="D730" t="s">
        <v>932</v>
      </c>
      <c r="E730">
        <v>200</v>
      </c>
      <c r="F730" t="s">
        <v>933</v>
      </c>
      <c r="G730">
        <v>2023</v>
      </c>
      <c r="H730" t="s">
        <v>1090</v>
      </c>
      <c r="I730" t="s">
        <v>1065</v>
      </c>
      <c r="J730" t="s">
        <v>1066</v>
      </c>
      <c r="K730" t="s">
        <v>1064</v>
      </c>
      <c r="L730" t="s">
        <v>1067</v>
      </c>
      <c r="M730" t="s">
        <v>918</v>
      </c>
      <c r="N730" t="s">
        <v>1068</v>
      </c>
      <c r="O730" t="s">
        <v>922</v>
      </c>
    </row>
    <row r="731" spans="1:15" x14ac:dyDescent="0.35">
      <c r="A731" t="s">
        <v>1112</v>
      </c>
      <c r="B731" t="s">
        <v>1113</v>
      </c>
      <c r="C731" t="s">
        <v>1090</v>
      </c>
      <c r="D731" t="s">
        <v>932</v>
      </c>
      <c r="E731">
        <v>200</v>
      </c>
      <c r="F731" t="s">
        <v>933</v>
      </c>
      <c r="G731">
        <v>2024</v>
      </c>
      <c r="H731" t="s">
        <v>1090</v>
      </c>
      <c r="I731" t="s">
        <v>1065</v>
      </c>
      <c r="J731" t="s">
        <v>1066</v>
      </c>
      <c r="K731" t="s">
        <v>1064</v>
      </c>
      <c r="L731" t="s">
        <v>1067</v>
      </c>
      <c r="M731" t="s">
        <v>952</v>
      </c>
      <c r="N731" t="s">
        <v>1068</v>
      </c>
      <c r="O731" t="s">
        <v>922</v>
      </c>
    </row>
    <row r="732" spans="1:15" x14ac:dyDescent="0.35">
      <c r="A732" t="s">
        <v>1114</v>
      </c>
      <c r="B732" t="s">
        <v>1115</v>
      </c>
      <c r="C732" t="s">
        <v>1090</v>
      </c>
      <c r="D732" t="s">
        <v>932</v>
      </c>
      <c r="E732">
        <v>200</v>
      </c>
      <c r="F732" t="s">
        <v>933</v>
      </c>
      <c r="G732">
        <v>2024</v>
      </c>
      <c r="H732" t="s">
        <v>1090</v>
      </c>
      <c r="I732" t="s">
        <v>1065</v>
      </c>
      <c r="J732" t="s">
        <v>1066</v>
      </c>
      <c r="K732" t="s">
        <v>1064</v>
      </c>
      <c r="L732" t="s">
        <v>1067</v>
      </c>
      <c r="M732" t="s">
        <v>969</v>
      </c>
      <c r="N732" t="s">
        <v>1068</v>
      </c>
      <c r="O732" t="s">
        <v>922</v>
      </c>
    </row>
    <row r="733" spans="1:15" x14ac:dyDescent="0.35">
      <c r="A733" t="s">
        <v>314</v>
      </c>
      <c r="B733" t="s">
        <v>47</v>
      </c>
      <c r="C733" t="s">
        <v>1090</v>
      </c>
      <c r="D733" t="s">
        <v>932</v>
      </c>
      <c r="E733">
        <v>200</v>
      </c>
      <c r="F733" t="s">
        <v>933</v>
      </c>
      <c r="G733">
        <v>2024</v>
      </c>
      <c r="H733" t="s">
        <v>1090</v>
      </c>
      <c r="I733" t="s">
        <v>1065</v>
      </c>
      <c r="J733" t="s">
        <v>1066</v>
      </c>
      <c r="K733" t="s">
        <v>1064</v>
      </c>
      <c r="L733" t="s">
        <v>1067</v>
      </c>
      <c r="M733" t="s">
        <v>918</v>
      </c>
      <c r="N733" t="s">
        <v>1068</v>
      </c>
      <c r="O733" t="s">
        <v>922</v>
      </c>
    </row>
    <row r="734" spans="1:15" x14ac:dyDescent="0.35">
      <c r="A734" t="s">
        <v>1116</v>
      </c>
      <c r="B734" t="s">
        <v>1117</v>
      </c>
      <c r="C734" t="s">
        <v>1090</v>
      </c>
      <c r="D734" t="s">
        <v>932</v>
      </c>
      <c r="E734">
        <v>200</v>
      </c>
      <c r="F734" t="s">
        <v>958</v>
      </c>
      <c r="G734">
        <v>2019</v>
      </c>
      <c r="H734" t="s">
        <v>1090</v>
      </c>
      <c r="I734" t="s">
        <v>1065</v>
      </c>
      <c r="J734" t="s">
        <v>1066</v>
      </c>
      <c r="K734" t="s">
        <v>1064</v>
      </c>
      <c r="L734" t="s">
        <v>1067</v>
      </c>
      <c r="M734" t="s">
        <v>952</v>
      </c>
      <c r="N734" t="s">
        <v>1072</v>
      </c>
      <c r="O734" t="s">
        <v>922</v>
      </c>
    </row>
    <row r="735" spans="1:15" x14ac:dyDescent="0.35">
      <c r="A735" t="s">
        <v>816</v>
      </c>
      <c r="B735" t="s">
        <v>1118</v>
      </c>
      <c r="C735" t="s">
        <v>1090</v>
      </c>
      <c r="D735" t="s">
        <v>932</v>
      </c>
      <c r="E735">
        <v>200</v>
      </c>
      <c r="F735" t="s">
        <v>958</v>
      </c>
      <c r="G735">
        <v>2019</v>
      </c>
      <c r="H735" t="s">
        <v>1090</v>
      </c>
      <c r="I735" t="s">
        <v>1065</v>
      </c>
      <c r="J735" t="s">
        <v>1066</v>
      </c>
      <c r="K735" t="s">
        <v>1064</v>
      </c>
      <c r="L735" t="s">
        <v>1067</v>
      </c>
      <c r="M735" t="s">
        <v>918</v>
      </c>
      <c r="N735" t="s">
        <v>1072</v>
      </c>
      <c r="O735" t="s">
        <v>922</v>
      </c>
    </row>
    <row r="736" spans="1:15" x14ac:dyDescent="0.35">
      <c r="A736" t="s">
        <v>1119</v>
      </c>
      <c r="B736" t="s">
        <v>1120</v>
      </c>
      <c r="C736" t="s">
        <v>1090</v>
      </c>
      <c r="D736" t="s">
        <v>932</v>
      </c>
      <c r="E736">
        <v>200</v>
      </c>
      <c r="F736" t="s">
        <v>958</v>
      </c>
      <c r="G736">
        <v>2020</v>
      </c>
      <c r="H736" t="s">
        <v>1090</v>
      </c>
      <c r="I736" t="s">
        <v>1065</v>
      </c>
      <c r="J736" t="s">
        <v>1066</v>
      </c>
      <c r="K736" t="s">
        <v>1064</v>
      </c>
      <c r="L736" t="s">
        <v>1067</v>
      </c>
      <c r="M736" t="s">
        <v>952</v>
      </c>
      <c r="N736" t="s">
        <v>1072</v>
      </c>
      <c r="O736" t="s">
        <v>922</v>
      </c>
    </row>
    <row r="737" spans="1:15" x14ac:dyDescent="0.35">
      <c r="A737" t="s">
        <v>885</v>
      </c>
      <c r="B737" t="s">
        <v>1121</v>
      </c>
      <c r="C737" t="s">
        <v>1090</v>
      </c>
      <c r="D737" t="s">
        <v>932</v>
      </c>
      <c r="E737">
        <v>200</v>
      </c>
      <c r="F737" t="s">
        <v>958</v>
      </c>
      <c r="G737">
        <v>2020</v>
      </c>
      <c r="H737" t="s">
        <v>1090</v>
      </c>
      <c r="I737" t="s">
        <v>1065</v>
      </c>
      <c r="J737" t="s">
        <v>1066</v>
      </c>
      <c r="K737" t="s">
        <v>1064</v>
      </c>
      <c r="L737" t="s">
        <v>1067</v>
      </c>
      <c r="M737" t="s">
        <v>918</v>
      </c>
      <c r="N737" t="s">
        <v>1072</v>
      </c>
      <c r="O737" t="s">
        <v>922</v>
      </c>
    </row>
    <row r="738" spans="1:15" x14ac:dyDescent="0.35">
      <c r="A738" t="s">
        <v>1122</v>
      </c>
      <c r="B738" t="s">
        <v>1123</v>
      </c>
      <c r="C738" t="s">
        <v>1090</v>
      </c>
      <c r="D738" t="s">
        <v>932</v>
      </c>
      <c r="E738">
        <v>200</v>
      </c>
      <c r="F738" t="s">
        <v>958</v>
      </c>
      <c r="G738">
        <v>2021</v>
      </c>
      <c r="H738" t="s">
        <v>1090</v>
      </c>
      <c r="I738" t="s">
        <v>1065</v>
      </c>
      <c r="J738" t="s">
        <v>1066</v>
      </c>
      <c r="K738" t="s">
        <v>1064</v>
      </c>
      <c r="L738" t="s">
        <v>1067</v>
      </c>
      <c r="M738" t="s">
        <v>952</v>
      </c>
      <c r="N738" t="s">
        <v>1072</v>
      </c>
      <c r="O738" t="s">
        <v>922</v>
      </c>
    </row>
    <row r="739" spans="1:15" x14ac:dyDescent="0.35">
      <c r="A739" t="s">
        <v>744</v>
      </c>
      <c r="B739" t="s">
        <v>1124</v>
      </c>
      <c r="C739" t="s">
        <v>1090</v>
      </c>
      <c r="D739" t="s">
        <v>932</v>
      </c>
      <c r="E739">
        <v>200</v>
      </c>
      <c r="F739" t="s">
        <v>958</v>
      </c>
      <c r="G739">
        <v>2021</v>
      </c>
      <c r="H739" t="s">
        <v>1090</v>
      </c>
      <c r="I739" t="s">
        <v>1065</v>
      </c>
      <c r="J739" t="s">
        <v>1066</v>
      </c>
      <c r="K739" t="s">
        <v>1064</v>
      </c>
      <c r="L739" t="s">
        <v>1067</v>
      </c>
      <c r="M739" t="s">
        <v>918</v>
      </c>
      <c r="N739" t="s">
        <v>1072</v>
      </c>
      <c r="O739" t="s">
        <v>922</v>
      </c>
    </row>
    <row r="740" spans="1:15" x14ac:dyDescent="0.35">
      <c r="A740" t="s">
        <v>326</v>
      </c>
      <c r="B740" t="s">
        <v>1125</v>
      </c>
      <c r="C740" t="s">
        <v>1090</v>
      </c>
      <c r="D740" t="s">
        <v>932</v>
      </c>
      <c r="E740">
        <v>200</v>
      </c>
      <c r="F740" t="s">
        <v>958</v>
      </c>
      <c r="G740">
        <v>2022</v>
      </c>
      <c r="H740" t="s">
        <v>1090</v>
      </c>
      <c r="I740" t="s">
        <v>1065</v>
      </c>
      <c r="J740" t="s">
        <v>1066</v>
      </c>
      <c r="K740" t="s">
        <v>1064</v>
      </c>
      <c r="L740" t="s">
        <v>1067</v>
      </c>
      <c r="M740" t="s">
        <v>918</v>
      </c>
      <c r="N740" t="s">
        <v>1072</v>
      </c>
      <c r="O740" t="s">
        <v>922</v>
      </c>
    </row>
    <row r="741" spans="1:15" x14ac:dyDescent="0.35">
      <c r="A741" t="s">
        <v>1126</v>
      </c>
      <c r="B741" t="s">
        <v>1127</v>
      </c>
      <c r="C741" t="s">
        <v>1090</v>
      </c>
      <c r="D741" t="s">
        <v>932</v>
      </c>
      <c r="E741">
        <v>200</v>
      </c>
      <c r="F741" t="s">
        <v>942</v>
      </c>
      <c r="G741">
        <v>2022</v>
      </c>
      <c r="H741" t="s">
        <v>1090</v>
      </c>
      <c r="I741" t="s">
        <v>1065</v>
      </c>
      <c r="J741" t="s">
        <v>1066</v>
      </c>
      <c r="K741" t="s">
        <v>1064</v>
      </c>
      <c r="L741" t="s">
        <v>1067</v>
      </c>
      <c r="M741" t="s">
        <v>952</v>
      </c>
      <c r="N741" t="s">
        <v>1078</v>
      </c>
      <c r="O741" t="s">
        <v>922</v>
      </c>
    </row>
    <row r="742" spans="1:15" x14ac:dyDescent="0.35">
      <c r="A742" t="s">
        <v>810</v>
      </c>
      <c r="B742" t="s">
        <v>1128</v>
      </c>
      <c r="C742" t="s">
        <v>1090</v>
      </c>
      <c r="D742" t="s">
        <v>932</v>
      </c>
      <c r="E742">
        <v>200</v>
      </c>
      <c r="F742" t="s">
        <v>942</v>
      </c>
      <c r="G742">
        <v>2022</v>
      </c>
      <c r="H742" t="s">
        <v>1090</v>
      </c>
      <c r="I742" t="s">
        <v>1065</v>
      </c>
      <c r="J742" t="s">
        <v>1066</v>
      </c>
      <c r="K742" t="s">
        <v>1064</v>
      </c>
      <c r="L742" t="s">
        <v>1067</v>
      </c>
      <c r="M742" t="s">
        <v>918</v>
      </c>
      <c r="N742" t="s">
        <v>1078</v>
      </c>
      <c r="O742" t="s">
        <v>922</v>
      </c>
    </row>
    <row r="743" spans="1:15" x14ac:dyDescent="0.35">
      <c r="A743" t="s">
        <v>375</v>
      </c>
      <c r="B743" t="s">
        <v>1129</v>
      </c>
      <c r="C743" t="s">
        <v>1090</v>
      </c>
      <c r="D743" t="s">
        <v>932</v>
      </c>
      <c r="E743">
        <v>200</v>
      </c>
      <c r="F743" t="s">
        <v>942</v>
      </c>
      <c r="G743">
        <v>2023</v>
      </c>
      <c r="H743" t="s">
        <v>1090</v>
      </c>
      <c r="I743" t="s">
        <v>1065</v>
      </c>
      <c r="J743" t="s">
        <v>1066</v>
      </c>
      <c r="K743" t="s">
        <v>1064</v>
      </c>
      <c r="L743" t="s">
        <v>1067</v>
      </c>
      <c r="M743" t="s">
        <v>918</v>
      </c>
      <c r="N743" t="s">
        <v>1078</v>
      </c>
      <c r="O743" t="s">
        <v>922</v>
      </c>
    </row>
    <row r="744" spans="1:15" x14ac:dyDescent="0.35">
      <c r="A744" t="s">
        <v>1130</v>
      </c>
      <c r="B744" t="s">
        <v>1131</v>
      </c>
      <c r="C744" t="s">
        <v>1090</v>
      </c>
      <c r="D744" t="s">
        <v>932</v>
      </c>
      <c r="E744">
        <v>200</v>
      </c>
      <c r="F744" t="s">
        <v>942</v>
      </c>
      <c r="G744">
        <v>2021</v>
      </c>
      <c r="H744" t="s">
        <v>1090</v>
      </c>
      <c r="I744" t="s">
        <v>1065</v>
      </c>
      <c r="J744" t="s">
        <v>1066</v>
      </c>
      <c r="K744" t="s">
        <v>1064</v>
      </c>
      <c r="L744" t="s">
        <v>1067</v>
      </c>
      <c r="M744" t="s">
        <v>952</v>
      </c>
      <c r="N744" t="s">
        <v>1078</v>
      </c>
      <c r="O744" t="s">
        <v>922</v>
      </c>
    </row>
    <row r="745" spans="1:15" x14ac:dyDescent="0.35">
      <c r="A745" t="s">
        <v>1132</v>
      </c>
      <c r="B745" t="s">
        <v>1133</v>
      </c>
      <c r="C745" t="s">
        <v>1090</v>
      </c>
      <c r="D745" t="s">
        <v>932</v>
      </c>
      <c r="E745">
        <v>200</v>
      </c>
      <c r="F745" t="s">
        <v>942</v>
      </c>
      <c r="G745">
        <v>2021</v>
      </c>
      <c r="H745" t="s">
        <v>1090</v>
      </c>
      <c r="I745" t="s">
        <v>1065</v>
      </c>
      <c r="J745" t="s">
        <v>1066</v>
      </c>
      <c r="K745" t="s">
        <v>1064</v>
      </c>
      <c r="L745" t="s">
        <v>1067</v>
      </c>
      <c r="M745" t="s">
        <v>918</v>
      </c>
      <c r="N745" t="s">
        <v>1078</v>
      </c>
      <c r="O745" t="s">
        <v>922</v>
      </c>
    </row>
    <row r="746" spans="1:15" x14ac:dyDescent="0.35">
      <c r="A746" t="s">
        <v>1134</v>
      </c>
      <c r="B746" t="s">
        <v>1135</v>
      </c>
      <c r="C746" t="s">
        <v>1090</v>
      </c>
      <c r="D746" t="s">
        <v>932</v>
      </c>
      <c r="E746">
        <v>200</v>
      </c>
      <c r="F746" t="s">
        <v>942</v>
      </c>
      <c r="G746">
        <v>2022</v>
      </c>
      <c r="H746" t="s">
        <v>1090</v>
      </c>
      <c r="I746" t="s">
        <v>1065</v>
      </c>
      <c r="J746" t="s">
        <v>1066</v>
      </c>
      <c r="K746" t="s">
        <v>1064</v>
      </c>
      <c r="L746" t="s">
        <v>1067</v>
      </c>
      <c r="M746" t="s">
        <v>952</v>
      </c>
      <c r="N746" t="s">
        <v>1078</v>
      </c>
      <c r="O746" t="s">
        <v>922</v>
      </c>
    </row>
    <row r="747" spans="1:15" x14ac:dyDescent="0.35">
      <c r="A747" t="s">
        <v>850</v>
      </c>
      <c r="B747" t="s">
        <v>1136</v>
      </c>
      <c r="C747" t="s">
        <v>1090</v>
      </c>
      <c r="D747" t="s">
        <v>932</v>
      </c>
      <c r="E747">
        <v>200</v>
      </c>
      <c r="F747" t="s">
        <v>942</v>
      </c>
      <c r="G747">
        <v>2022</v>
      </c>
      <c r="H747" t="s">
        <v>1090</v>
      </c>
      <c r="I747" t="s">
        <v>1065</v>
      </c>
      <c r="J747" t="s">
        <v>1066</v>
      </c>
      <c r="K747" t="s">
        <v>1064</v>
      </c>
      <c r="L747" t="s">
        <v>1067</v>
      </c>
      <c r="M747" t="s">
        <v>918</v>
      </c>
      <c r="N747" t="s">
        <v>1078</v>
      </c>
      <c r="O747" t="s">
        <v>922</v>
      </c>
    </row>
    <row r="748" spans="1:15" x14ac:dyDescent="0.35">
      <c r="A748" t="s">
        <v>1137</v>
      </c>
      <c r="B748" t="s">
        <v>1138</v>
      </c>
      <c r="C748" t="s">
        <v>1090</v>
      </c>
      <c r="D748" t="s">
        <v>932</v>
      </c>
      <c r="E748">
        <v>200</v>
      </c>
      <c r="F748" t="s">
        <v>942</v>
      </c>
      <c r="G748">
        <v>2023</v>
      </c>
      <c r="H748" t="s">
        <v>1090</v>
      </c>
      <c r="I748" t="s">
        <v>1065</v>
      </c>
      <c r="J748" t="s">
        <v>1066</v>
      </c>
      <c r="K748" t="s">
        <v>1064</v>
      </c>
      <c r="L748" t="s">
        <v>1067</v>
      </c>
      <c r="M748" t="s">
        <v>952</v>
      </c>
      <c r="N748" t="s">
        <v>1078</v>
      </c>
      <c r="O748" t="s">
        <v>922</v>
      </c>
    </row>
    <row r="749" spans="1:15" x14ac:dyDescent="0.35">
      <c r="A749" t="s">
        <v>1139</v>
      </c>
      <c r="B749" t="s">
        <v>1140</v>
      </c>
      <c r="C749" t="s">
        <v>1090</v>
      </c>
      <c r="D749" t="s">
        <v>932</v>
      </c>
      <c r="E749">
        <v>200</v>
      </c>
      <c r="F749" t="s">
        <v>942</v>
      </c>
      <c r="G749">
        <v>2023</v>
      </c>
      <c r="H749" t="s">
        <v>1090</v>
      </c>
      <c r="I749" t="s">
        <v>1065</v>
      </c>
      <c r="J749" t="s">
        <v>1066</v>
      </c>
      <c r="K749" t="s">
        <v>1064</v>
      </c>
      <c r="L749" t="s">
        <v>1067</v>
      </c>
      <c r="M749" t="s">
        <v>969</v>
      </c>
      <c r="N749" t="s">
        <v>1078</v>
      </c>
      <c r="O749" t="s">
        <v>922</v>
      </c>
    </row>
    <row r="750" spans="1:15" x14ac:dyDescent="0.35">
      <c r="A750" t="s">
        <v>342</v>
      </c>
      <c r="B750" t="s">
        <v>1141</v>
      </c>
      <c r="C750" t="s">
        <v>1090</v>
      </c>
      <c r="D750" t="s">
        <v>932</v>
      </c>
      <c r="E750">
        <v>200</v>
      </c>
      <c r="F750" t="s">
        <v>942</v>
      </c>
      <c r="G750">
        <v>2023</v>
      </c>
      <c r="H750" t="s">
        <v>1090</v>
      </c>
      <c r="I750" t="s">
        <v>1065</v>
      </c>
      <c r="J750" t="s">
        <v>1066</v>
      </c>
      <c r="K750" t="s">
        <v>1064</v>
      </c>
      <c r="L750" t="s">
        <v>1067</v>
      </c>
      <c r="M750" t="s">
        <v>918</v>
      </c>
      <c r="N750" t="s">
        <v>1078</v>
      </c>
      <c r="O750" t="s">
        <v>922</v>
      </c>
    </row>
    <row r="751" spans="1:15" x14ac:dyDescent="0.35">
      <c r="A751" t="s">
        <v>1142</v>
      </c>
      <c r="B751" t="s">
        <v>1143</v>
      </c>
      <c r="C751" t="s">
        <v>1090</v>
      </c>
      <c r="D751" t="s">
        <v>932</v>
      </c>
      <c r="E751">
        <v>200</v>
      </c>
      <c r="F751" t="s">
        <v>942</v>
      </c>
      <c r="G751">
        <v>2024</v>
      </c>
      <c r="H751" t="s">
        <v>1090</v>
      </c>
      <c r="I751" t="s">
        <v>1065</v>
      </c>
      <c r="J751" t="s">
        <v>1066</v>
      </c>
      <c r="K751" t="s">
        <v>1064</v>
      </c>
      <c r="L751" t="s">
        <v>1067</v>
      </c>
      <c r="M751" t="s">
        <v>952</v>
      </c>
      <c r="N751" t="s">
        <v>1078</v>
      </c>
      <c r="O751" t="s">
        <v>922</v>
      </c>
    </row>
    <row r="752" spans="1:15" x14ac:dyDescent="0.35">
      <c r="A752" t="s">
        <v>1144</v>
      </c>
      <c r="B752" t="s">
        <v>1145</v>
      </c>
      <c r="C752" t="s">
        <v>1090</v>
      </c>
      <c r="D752" t="s">
        <v>932</v>
      </c>
      <c r="E752">
        <v>200</v>
      </c>
      <c r="F752" t="s">
        <v>942</v>
      </c>
      <c r="G752">
        <v>2024</v>
      </c>
      <c r="H752" t="s">
        <v>1090</v>
      </c>
      <c r="I752" t="s">
        <v>1065</v>
      </c>
      <c r="J752" t="s">
        <v>1066</v>
      </c>
      <c r="K752" t="s">
        <v>1064</v>
      </c>
      <c r="L752" t="s">
        <v>1067</v>
      </c>
      <c r="M752" t="s">
        <v>969</v>
      </c>
      <c r="N752" t="s">
        <v>1078</v>
      </c>
      <c r="O752" t="s">
        <v>922</v>
      </c>
    </row>
    <row r="753" spans="1:15" x14ac:dyDescent="0.35">
      <c r="A753" t="s">
        <v>354</v>
      </c>
      <c r="B753" t="s">
        <v>1146</v>
      </c>
      <c r="C753" t="s">
        <v>1090</v>
      </c>
      <c r="D753" t="s">
        <v>932</v>
      </c>
      <c r="E753">
        <v>200</v>
      </c>
      <c r="F753" t="s">
        <v>942</v>
      </c>
      <c r="G753">
        <v>2024</v>
      </c>
      <c r="H753" t="s">
        <v>1090</v>
      </c>
      <c r="I753" t="s">
        <v>1065</v>
      </c>
      <c r="J753" t="s">
        <v>1066</v>
      </c>
      <c r="K753" t="s">
        <v>1064</v>
      </c>
      <c r="L753" t="s">
        <v>1067</v>
      </c>
      <c r="M753" t="s">
        <v>918</v>
      </c>
      <c r="N753" t="s">
        <v>1078</v>
      </c>
      <c r="O753" t="s">
        <v>922</v>
      </c>
    </row>
    <row r="754" spans="1:15" x14ac:dyDescent="0.35">
      <c r="A754" t="s">
        <v>371</v>
      </c>
      <c r="B754" t="s">
        <v>1147</v>
      </c>
      <c r="C754" t="s">
        <v>1090</v>
      </c>
      <c r="D754" t="s">
        <v>932</v>
      </c>
      <c r="E754">
        <v>200</v>
      </c>
      <c r="F754" t="s">
        <v>958</v>
      </c>
      <c r="G754">
        <v>2023</v>
      </c>
      <c r="H754" t="s">
        <v>1090</v>
      </c>
      <c r="I754" t="s">
        <v>1065</v>
      </c>
      <c r="J754" t="s">
        <v>1066</v>
      </c>
      <c r="K754" t="s">
        <v>1064</v>
      </c>
      <c r="L754" t="s">
        <v>1067</v>
      </c>
      <c r="M754" t="s">
        <v>918</v>
      </c>
      <c r="N754" t="s">
        <v>1072</v>
      </c>
      <c r="O754" t="s">
        <v>922</v>
      </c>
    </row>
    <row r="755" spans="1:15" x14ac:dyDescent="0.35">
      <c r="A755" t="s">
        <v>1148</v>
      </c>
      <c r="B755" t="s">
        <v>1149</v>
      </c>
      <c r="C755" t="s">
        <v>1090</v>
      </c>
      <c r="D755" t="s">
        <v>932</v>
      </c>
      <c r="E755">
        <v>200</v>
      </c>
      <c r="F755" t="s">
        <v>1006</v>
      </c>
      <c r="G755">
        <v>2019</v>
      </c>
      <c r="H755" t="s">
        <v>1090</v>
      </c>
      <c r="I755" t="s">
        <v>1065</v>
      </c>
      <c r="J755" t="s">
        <v>1066</v>
      </c>
      <c r="K755" t="s">
        <v>1064</v>
      </c>
      <c r="L755" t="s">
        <v>1067</v>
      </c>
      <c r="M755" t="s">
        <v>952</v>
      </c>
      <c r="N755" t="s">
        <v>1084</v>
      </c>
      <c r="O755" t="s">
        <v>922</v>
      </c>
    </row>
    <row r="756" spans="1:15" x14ac:dyDescent="0.35">
      <c r="A756" t="s">
        <v>1150</v>
      </c>
      <c r="B756" t="s">
        <v>1151</v>
      </c>
      <c r="C756" t="s">
        <v>1090</v>
      </c>
      <c r="D756" t="s">
        <v>932</v>
      </c>
      <c r="E756">
        <v>200</v>
      </c>
      <c r="F756" t="s">
        <v>1006</v>
      </c>
      <c r="G756">
        <v>2020</v>
      </c>
      <c r="H756" t="s">
        <v>1090</v>
      </c>
      <c r="I756" t="s">
        <v>1065</v>
      </c>
      <c r="J756" t="s">
        <v>1066</v>
      </c>
      <c r="K756" t="s">
        <v>1064</v>
      </c>
      <c r="L756" t="s">
        <v>1067</v>
      </c>
      <c r="M756" t="s">
        <v>952</v>
      </c>
      <c r="N756" t="s">
        <v>1084</v>
      </c>
      <c r="O756" t="s">
        <v>922</v>
      </c>
    </row>
    <row r="757" spans="1:15" x14ac:dyDescent="0.35">
      <c r="A757" t="s">
        <v>886</v>
      </c>
      <c r="B757" t="s">
        <v>1152</v>
      </c>
      <c r="C757" t="s">
        <v>1090</v>
      </c>
      <c r="D757" t="s">
        <v>932</v>
      </c>
      <c r="E757">
        <v>200</v>
      </c>
      <c r="F757" t="s">
        <v>1006</v>
      </c>
      <c r="G757">
        <v>2020</v>
      </c>
      <c r="H757" t="s">
        <v>1090</v>
      </c>
      <c r="I757" t="s">
        <v>1065</v>
      </c>
      <c r="J757" t="s">
        <v>1066</v>
      </c>
      <c r="K757" t="s">
        <v>1064</v>
      </c>
      <c r="L757" t="s">
        <v>1067</v>
      </c>
      <c r="M757" t="s">
        <v>918</v>
      </c>
      <c r="N757" t="s">
        <v>1084</v>
      </c>
      <c r="O757" t="s">
        <v>922</v>
      </c>
    </row>
    <row r="758" spans="1:15" x14ac:dyDescent="0.35">
      <c r="A758" t="s">
        <v>1153</v>
      </c>
      <c r="B758" t="s">
        <v>1154</v>
      </c>
      <c r="C758" t="s">
        <v>1090</v>
      </c>
      <c r="D758" t="s">
        <v>932</v>
      </c>
      <c r="E758">
        <v>200</v>
      </c>
      <c r="F758" t="s">
        <v>1006</v>
      </c>
      <c r="G758">
        <v>2022</v>
      </c>
      <c r="H758" t="s">
        <v>1090</v>
      </c>
      <c r="I758" t="s">
        <v>1065</v>
      </c>
      <c r="J758" t="s">
        <v>1066</v>
      </c>
      <c r="K758" t="s">
        <v>1064</v>
      </c>
      <c r="L758" t="s">
        <v>1067</v>
      </c>
      <c r="M758" t="s">
        <v>952</v>
      </c>
      <c r="N758" t="s">
        <v>1084</v>
      </c>
      <c r="O758" t="s">
        <v>922</v>
      </c>
    </row>
    <row r="759" spans="1:15" x14ac:dyDescent="0.35">
      <c r="A759" t="s">
        <v>1155</v>
      </c>
      <c r="B759" t="s">
        <v>1156</v>
      </c>
      <c r="C759" t="s">
        <v>1090</v>
      </c>
      <c r="D759" t="s">
        <v>932</v>
      </c>
      <c r="E759">
        <v>200</v>
      </c>
      <c r="F759" t="s">
        <v>1006</v>
      </c>
      <c r="G759">
        <v>2023</v>
      </c>
      <c r="H759" t="s">
        <v>1090</v>
      </c>
      <c r="I759" t="s">
        <v>1065</v>
      </c>
      <c r="J759" t="s">
        <v>1066</v>
      </c>
      <c r="K759" t="s">
        <v>1064</v>
      </c>
      <c r="L759" t="s">
        <v>1067</v>
      </c>
      <c r="M759" t="s">
        <v>952</v>
      </c>
      <c r="N759" t="s">
        <v>1084</v>
      </c>
      <c r="O759" t="s">
        <v>922</v>
      </c>
    </row>
    <row r="760" spans="1:15" x14ac:dyDescent="0.35">
      <c r="A760" t="s">
        <v>344</v>
      </c>
      <c r="B760" t="s">
        <v>1157</v>
      </c>
      <c r="C760" t="s">
        <v>1090</v>
      </c>
      <c r="D760" t="s">
        <v>932</v>
      </c>
      <c r="E760">
        <v>200</v>
      </c>
      <c r="F760" t="s">
        <v>1006</v>
      </c>
      <c r="G760">
        <v>2023</v>
      </c>
      <c r="H760" t="s">
        <v>1090</v>
      </c>
      <c r="I760" t="s">
        <v>1065</v>
      </c>
      <c r="J760" t="s">
        <v>1066</v>
      </c>
      <c r="K760" t="s">
        <v>1064</v>
      </c>
      <c r="L760" t="s">
        <v>1067</v>
      </c>
      <c r="M760" t="s">
        <v>918</v>
      </c>
      <c r="N760" t="s">
        <v>1084</v>
      </c>
      <c r="O760" t="s">
        <v>922</v>
      </c>
    </row>
    <row r="761" spans="1:15" x14ac:dyDescent="0.35">
      <c r="A761" t="s">
        <v>1158</v>
      </c>
      <c r="B761" t="s">
        <v>1159</v>
      </c>
      <c r="C761" t="s">
        <v>1090</v>
      </c>
      <c r="D761" t="s">
        <v>932</v>
      </c>
      <c r="E761">
        <v>200</v>
      </c>
      <c r="F761" t="s">
        <v>1006</v>
      </c>
      <c r="G761">
        <v>2024</v>
      </c>
      <c r="H761" t="s">
        <v>1090</v>
      </c>
      <c r="I761" t="s">
        <v>1065</v>
      </c>
      <c r="J761" t="s">
        <v>1066</v>
      </c>
      <c r="K761" t="s">
        <v>1064</v>
      </c>
      <c r="L761" t="s">
        <v>1067</v>
      </c>
      <c r="M761" t="s">
        <v>952</v>
      </c>
      <c r="N761" t="s">
        <v>1084</v>
      </c>
      <c r="O761" t="s">
        <v>922</v>
      </c>
    </row>
    <row r="762" spans="1:15" x14ac:dyDescent="0.35">
      <c r="A762" t="s">
        <v>356</v>
      </c>
      <c r="B762" t="s">
        <v>1160</v>
      </c>
      <c r="C762" t="s">
        <v>1090</v>
      </c>
      <c r="D762" t="s">
        <v>932</v>
      </c>
      <c r="E762">
        <v>200</v>
      </c>
      <c r="F762" t="s">
        <v>1006</v>
      </c>
      <c r="G762">
        <v>2024</v>
      </c>
      <c r="H762" t="s">
        <v>1090</v>
      </c>
      <c r="I762" t="s">
        <v>1065</v>
      </c>
      <c r="J762" t="s">
        <v>1066</v>
      </c>
      <c r="K762" t="s">
        <v>1064</v>
      </c>
      <c r="L762" t="s">
        <v>1067</v>
      </c>
      <c r="M762" t="s">
        <v>918</v>
      </c>
      <c r="N762" t="s">
        <v>1084</v>
      </c>
      <c r="O762" t="s">
        <v>922</v>
      </c>
    </row>
    <row r="763" spans="1:15" x14ac:dyDescent="0.35">
      <c r="A763" t="s">
        <v>848</v>
      </c>
      <c r="B763" t="s">
        <v>1190</v>
      </c>
      <c r="C763" t="s">
        <v>1090</v>
      </c>
      <c r="D763" t="s">
        <v>932</v>
      </c>
      <c r="E763">
        <v>200</v>
      </c>
      <c r="F763" t="s">
        <v>917</v>
      </c>
      <c r="G763">
        <v>2019</v>
      </c>
      <c r="H763" t="s">
        <v>1090</v>
      </c>
      <c r="I763" t="s">
        <v>1065</v>
      </c>
      <c r="J763" t="s">
        <v>1066</v>
      </c>
      <c r="K763" t="s">
        <v>1064</v>
      </c>
      <c r="L763" t="s">
        <v>1067</v>
      </c>
      <c r="M763" t="s">
        <v>918</v>
      </c>
      <c r="N763" t="s">
        <v>1094</v>
      </c>
      <c r="O763" t="s">
        <v>922</v>
      </c>
    </row>
    <row r="764" spans="1:15" x14ac:dyDescent="0.35">
      <c r="A764" t="s">
        <v>851</v>
      </c>
      <c r="B764" t="s">
        <v>1191</v>
      </c>
      <c r="C764" t="s">
        <v>1090</v>
      </c>
      <c r="D764" t="s">
        <v>932</v>
      </c>
      <c r="E764">
        <v>200</v>
      </c>
      <c r="F764" t="s">
        <v>1006</v>
      </c>
      <c r="G764">
        <v>2019</v>
      </c>
      <c r="H764" t="s">
        <v>1090</v>
      </c>
      <c r="I764" t="s">
        <v>1065</v>
      </c>
      <c r="J764" t="s">
        <v>1066</v>
      </c>
      <c r="K764" t="s">
        <v>1064</v>
      </c>
      <c r="L764" t="s">
        <v>1067</v>
      </c>
      <c r="M764" t="s">
        <v>918</v>
      </c>
      <c r="N764" t="s">
        <v>1084</v>
      </c>
      <c r="O764" t="s">
        <v>922</v>
      </c>
    </row>
    <row r="765" spans="1:15" x14ac:dyDescent="0.35">
      <c r="A765" t="s">
        <v>1192</v>
      </c>
      <c r="B765" t="s">
        <v>1193</v>
      </c>
      <c r="C765" t="s">
        <v>1090</v>
      </c>
      <c r="D765" t="s">
        <v>932</v>
      </c>
      <c r="E765">
        <v>200</v>
      </c>
      <c r="F765" t="s">
        <v>917</v>
      </c>
      <c r="G765">
        <v>2022</v>
      </c>
      <c r="H765" t="s">
        <v>1090</v>
      </c>
      <c r="I765" t="s">
        <v>1065</v>
      </c>
      <c r="J765" t="s">
        <v>1066</v>
      </c>
      <c r="K765" t="s">
        <v>1064</v>
      </c>
      <c r="L765" t="s">
        <v>1067</v>
      </c>
      <c r="M765" t="s">
        <v>952</v>
      </c>
      <c r="N765" t="s">
        <v>1094</v>
      </c>
      <c r="O765" t="s">
        <v>922</v>
      </c>
    </row>
    <row r="766" spans="1:15" x14ac:dyDescent="0.35">
      <c r="A766" t="s">
        <v>1194</v>
      </c>
      <c r="B766" t="s">
        <v>1195</v>
      </c>
      <c r="C766" t="s">
        <v>1090</v>
      </c>
      <c r="D766" t="s">
        <v>932</v>
      </c>
      <c r="E766">
        <v>200</v>
      </c>
      <c r="F766" t="s">
        <v>1006</v>
      </c>
      <c r="G766">
        <v>2021</v>
      </c>
      <c r="H766" t="s">
        <v>1090</v>
      </c>
      <c r="I766" t="s">
        <v>1065</v>
      </c>
      <c r="J766" t="s">
        <v>1066</v>
      </c>
      <c r="K766" t="s">
        <v>1064</v>
      </c>
      <c r="L766" t="s">
        <v>1067</v>
      </c>
      <c r="M766" t="s">
        <v>952</v>
      </c>
      <c r="N766" t="s">
        <v>1084</v>
      </c>
      <c r="O766" t="s">
        <v>922</v>
      </c>
    </row>
    <row r="767" spans="1:15" x14ac:dyDescent="0.35">
      <c r="A767" t="s">
        <v>1196</v>
      </c>
      <c r="B767" t="s">
        <v>1197</v>
      </c>
      <c r="C767" t="s">
        <v>1090</v>
      </c>
      <c r="D767" t="s">
        <v>932</v>
      </c>
      <c r="E767">
        <v>200</v>
      </c>
      <c r="F767" t="s">
        <v>951</v>
      </c>
      <c r="G767">
        <v>2021</v>
      </c>
      <c r="H767" t="s">
        <v>1090</v>
      </c>
      <c r="I767" t="s">
        <v>1065</v>
      </c>
      <c r="J767" t="s">
        <v>1066</v>
      </c>
      <c r="K767" t="s">
        <v>1064</v>
      </c>
      <c r="L767" t="s">
        <v>1067</v>
      </c>
      <c r="M767" t="s">
        <v>952</v>
      </c>
      <c r="N767" t="s">
        <v>1091</v>
      </c>
      <c r="O767" t="s">
        <v>922</v>
      </c>
    </row>
    <row r="768" spans="1:15" x14ac:dyDescent="0.35">
      <c r="A768" t="s">
        <v>2518</v>
      </c>
      <c r="B768" t="s">
        <v>2519</v>
      </c>
      <c r="C768" t="s">
        <v>1090</v>
      </c>
      <c r="D768" t="s">
        <v>932</v>
      </c>
      <c r="E768">
        <v>200</v>
      </c>
      <c r="F768" t="s">
        <v>958</v>
      </c>
      <c r="G768">
        <v>2026</v>
      </c>
      <c r="H768" t="s">
        <v>1090</v>
      </c>
      <c r="I768" t="s">
        <v>1065</v>
      </c>
      <c r="J768" t="s">
        <v>1066</v>
      </c>
      <c r="K768" t="s">
        <v>1090</v>
      </c>
      <c r="L768" t="s">
        <v>1067</v>
      </c>
      <c r="M768" t="s">
        <v>920</v>
      </c>
      <c r="N768" t="s">
        <v>1072</v>
      </c>
      <c r="O768" t="s">
        <v>1075</v>
      </c>
    </row>
    <row r="769" spans="1:15" x14ac:dyDescent="0.35">
      <c r="A769" t="s">
        <v>2520</v>
      </c>
      <c r="B769" t="s">
        <v>2521</v>
      </c>
      <c r="C769" t="s">
        <v>1090</v>
      </c>
      <c r="D769" t="s">
        <v>932</v>
      </c>
      <c r="E769">
        <v>200</v>
      </c>
      <c r="F769" t="s">
        <v>1006</v>
      </c>
      <c r="G769">
        <v>2026</v>
      </c>
      <c r="H769" t="s">
        <v>1090</v>
      </c>
      <c r="I769" t="s">
        <v>1065</v>
      </c>
      <c r="J769" t="s">
        <v>1066</v>
      </c>
      <c r="K769" t="s">
        <v>1090</v>
      </c>
      <c r="L769" t="s">
        <v>1067</v>
      </c>
      <c r="M769" t="s">
        <v>920</v>
      </c>
      <c r="N769" t="s">
        <v>1084</v>
      </c>
      <c r="O769" t="s">
        <v>1087</v>
      </c>
    </row>
    <row r="770" spans="1:15" x14ac:dyDescent="0.35">
      <c r="A770" t="s">
        <v>2522</v>
      </c>
      <c r="B770" t="s">
        <v>2523</v>
      </c>
      <c r="C770" t="s">
        <v>1090</v>
      </c>
      <c r="D770" t="s">
        <v>932</v>
      </c>
      <c r="E770">
        <v>200</v>
      </c>
      <c r="F770" t="s">
        <v>933</v>
      </c>
      <c r="G770">
        <v>2026</v>
      </c>
      <c r="H770" t="s">
        <v>1090</v>
      </c>
      <c r="I770" t="s">
        <v>1065</v>
      </c>
      <c r="J770" t="s">
        <v>1066</v>
      </c>
      <c r="K770" t="s">
        <v>1090</v>
      </c>
      <c r="L770" t="s">
        <v>1067</v>
      </c>
      <c r="M770" t="s">
        <v>920</v>
      </c>
      <c r="N770" t="s">
        <v>1068</v>
      </c>
      <c r="O770" t="s">
        <v>1069</v>
      </c>
    </row>
    <row r="771" spans="1:15" x14ac:dyDescent="0.35">
      <c r="A771" t="s">
        <v>2524</v>
      </c>
      <c r="B771" t="s">
        <v>2519</v>
      </c>
      <c r="C771" t="s">
        <v>1090</v>
      </c>
      <c r="D771" t="s">
        <v>932</v>
      </c>
      <c r="E771">
        <v>200</v>
      </c>
      <c r="F771" t="s">
        <v>958</v>
      </c>
      <c r="G771">
        <v>2026</v>
      </c>
      <c r="H771" t="s">
        <v>1090</v>
      </c>
      <c r="I771" t="s">
        <v>1065</v>
      </c>
      <c r="J771" t="s">
        <v>1066</v>
      </c>
      <c r="K771" t="s">
        <v>1090</v>
      </c>
      <c r="L771" t="s">
        <v>1067</v>
      </c>
      <c r="M771" t="s">
        <v>952</v>
      </c>
      <c r="N771" t="s">
        <v>1072</v>
      </c>
      <c r="O771" t="s">
        <v>1075</v>
      </c>
    </row>
    <row r="772" spans="1:15" x14ac:dyDescent="0.35">
      <c r="A772" t="s">
        <v>2525</v>
      </c>
      <c r="B772" t="s">
        <v>2521</v>
      </c>
      <c r="C772" t="s">
        <v>1090</v>
      </c>
      <c r="D772" t="s">
        <v>932</v>
      </c>
      <c r="E772">
        <v>200</v>
      </c>
      <c r="F772" t="s">
        <v>1006</v>
      </c>
      <c r="G772">
        <v>2026</v>
      </c>
      <c r="H772" t="s">
        <v>1090</v>
      </c>
      <c r="I772" t="s">
        <v>1065</v>
      </c>
      <c r="J772" t="s">
        <v>1066</v>
      </c>
      <c r="K772" t="s">
        <v>1090</v>
      </c>
      <c r="L772" t="s">
        <v>1067</v>
      </c>
      <c r="M772" t="s">
        <v>952</v>
      </c>
      <c r="N772" t="s">
        <v>1084</v>
      </c>
      <c r="O772" t="s">
        <v>1087</v>
      </c>
    </row>
    <row r="773" spans="1:15" x14ac:dyDescent="0.35">
      <c r="A773" t="s">
        <v>2526</v>
      </c>
      <c r="B773" t="s">
        <v>2523</v>
      </c>
      <c r="C773" t="s">
        <v>1090</v>
      </c>
      <c r="D773" t="s">
        <v>932</v>
      </c>
      <c r="E773">
        <v>200</v>
      </c>
      <c r="F773" t="s">
        <v>933</v>
      </c>
      <c r="G773">
        <v>2026</v>
      </c>
      <c r="H773" t="s">
        <v>1090</v>
      </c>
      <c r="I773" t="s">
        <v>1065</v>
      </c>
      <c r="J773" t="s">
        <v>1066</v>
      </c>
      <c r="K773" t="s">
        <v>1090</v>
      </c>
      <c r="L773" t="s">
        <v>1067</v>
      </c>
      <c r="M773" t="s">
        <v>952</v>
      </c>
      <c r="N773" t="s">
        <v>1068</v>
      </c>
      <c r="O773" t="s">
        <v>1069</v>
      </c>
    </row>
    <row r="774" spans="1:15" x14ac:dyDescent="0.35">
      <c r="A774" t="s">
        <v>2527</v>
      </c>
      <c r="B774" t="s">
        <v>2519</v>
      </c>
      <c r="C774" t="s">
        <v>1090</v>
      </c>
      <c r="D774" t="s">
        <v>932</v>
      </c>
      <c r="E774">
        <v>200</v>
      </c>
      <c r="F774" t="s">
        <v>958</v>
      </c>
      <c r="G774">
        <v>2026</v>
      </c>
      <c r="H774" t="s">
        <v>1090</v>
      </c>
      <c r="I774" t="s">
        <v>1065</v>
      </c>
      <c r="J774" t="s">
        <v>1066</v>
      </c>
      <c r="K774" t="s">
        <v>1090</v>
      </c>
      <c r="L774" t="s">
        <v>1067</v>
      </c>
      <c r="M774" t="s">
        <v>918</v>
      </c>
      <c r="N774" t="s">
        <v>1072</v>
      </c>
      <c r="O774" t="s">
        <v>1075</v>
      </c>
    </row>
    <row r="775" spans="1:15" x14ac:dyDescent="0.35">
      <c r="A775" t="s">
        <v>745</v>
      </c>
      <c r="B775" t="s">
        <v>2521</v>
      </c>
      <c r="C775" t="s">
        <v>1090</v>
      </c>
      <c r="D775" t="s">
        <v>932</v>
      </c>
      <c r="E775">
        <v>200</v>
      </c>
      <c r="F775" t="s">
        <v>1006</v>
      </c>
      <c r="G775">
        <v>2026</v>
      </c>
      <c r="H775" t="s">
        <v>1090</v>
      </c>
      <c r="I775" t="s">
        <v>1065</v>
      </c>
      <c r="J775" t="s">
        <v>1066</v>
      </c>
      <c r="K775" t="s">
        <v>1090</v>
      </c>
      <c r="L775" t="s">
        <v>1067</v>
      </c>
      <c r="M775" t="s">
        <v>918</v>
      </c>
      <c r="N775" t="s">
        <v>1084</v>
      </c>
      <c r="O775" t="s">
        <v>1087</v>
      </c>
    </row>
    <row r="776" spans="1:15" x14ac:dyDescent="0.35">
      <c r="A776" t="s">
        <v>746</v>
      </c>
      <c r="B776" t="s">
        <v>2523</v>
      </c>
      <c r="C776" t="s">
        <v>1090</v>
      </c>
      <c r="D776" t="s">
        <v>932</v>
      </c>
      <c r="E776">
        <v>200</v>
      </c>
      <c r="F776" t="s">
        <v>933</v>
      </c>
      <c r="G776">
        <v>2026</v>
      </c>
      <c r="H776" t="s">
        <v>1090</v>
      </c>
      <c r="I776" t="s">
        <v>1065</v>
      </c>
      <c r="J776" t="s">
        <v>1066</v>
      </c>
      <c r="K776" t="s">
        <v>1090</v>
      </c>
      <c r="L776" t="s">
        <v>1067</v>
      </c>
      <c r="M776" t="s">
        <v>918</v>
      </c>
      <c r="N776" t="s">
        <v>1068</v>
      </c>
      <c r="O776" t="s">
        <v>1069</v>
      </c>
    </row>
    <row r="777" spans="1:15" x14ac:dyDescent="0.35">
      <c r="A777" t="s">
        <v>2528</v>
      </c>
      <c r="B777" t="s">
        <v>2519</v>
      </c>
      <c r="C777" t="s">
        <v>1090</v>
      </c>
      <c r="D777" t="s">
        <v>932</v>
      </c>
      <c r="E777">
        <v>200</v>
      </c>
      <c r="F777" t="s">
        <v>958</v>
      </c>
      <c r="G777">
        <v>2026</v>
      </c>
      <c r="H777" t="s">
        <v>1090</v>
      </c>
      <c r="I777" t="s">
        <v>1065</v>
      </c>
      <c r="J777" t="s">
        <v>1066</v>
      </c>
      <c r="K777" t="s">
        <v>1090</v>
      </c>
      <c r="L777" t="s">
        <v>1067</v>
      </c>
      <c r="M777" t="s">
        <v>969</v>
      </c>
      <c r="N777" t="s">
        <v>1072</v>
      </c>
      <c r="O777" t="s">
        <v>1075</v>
      </c>
    </row>
    <row r="778" spans="1:15" x14ac:dyDescent="0.35">
      <c r="A778" t="s">
        <v>2529</v>
      </c>
      <c r="B778" t="s">
        <v>2521</v>
      </c>
      <c r="C778" t="s">
        <v>1090</v>
      </c>
      <c r="D778" t="s">
        <v>932</v>
      </c>
      <c r="E778">
        <v>200</v>
      </c>
      <c r="F778" t="s">
        <v>1006</v>
      </c>
      <c r="G778">
        <v>2026</v>
      </c>
      <c r="H778" t="s">
        <v>1090</v>
      </c>
      <c r="I778" t="s">
        <v>1065</v>
      </c>
      <c r="J778" t="s">
        <v>1066</v>
      </c>
      <c r="K778" t="s">
        <v>1090</v>
      </c>
      <c r="L778" t="s">
        <v>1067</v>
      </c>
      <c r="M778" t="s">
        <v>969</v>
      </c>
      <c r="N778" t="s">
        <v>1084</v>
      </c>
      <c r="O778" t="s">
        <v>1087</v>
      </c>
    </row>
    <row r="779" spans="1:15" x14ac:dyDescent="0.35">
      <c r="A779" t="s">
        <v>2530</v>
      </c>
      <c r="B779" t="s">
        <v>2523</v>
      </c>
      <c r="C779" t="s">
        <v>1090</v>
      </c>
      <c r="D779" t="s">
        <v>932</v>
      </c>
      <c r="E779">
        <v>200</v>
      </c>
      <c r="F779" t="s">
        <v>933</v>
      </c>
      <c r="G779">
        <v>2026</v>
      </c>
      <c r="H779" t="s">
        <v>1090</v>
      </c>
      <c r="I779" t="s">
        <v>1065</v>
      </c>
      <c r="J779" t="s">
        <v>1066</v>
      </c>
      <c r="K779" t="s">
        <v>1090</v>
      </c>
      <c r="L779" t="s">
        <v>1067</v>
      </c>
      <c r="M779" t="s">
        <v>969</v>
      </c>
      <c r="N779" t="s">
        <v>1068</v>
      </c>
      <c r="O779" t="s">
        <v>1069</v>
      </c>
    </row>
    <row r="780" spans="1:15" x14ac:dyDescent="0.35">
      <c r="A780" t="s">
        <v>2472</v>
      </c>
      <c r="B780" t="s">
        <v>2473</v>
      </c>
      <c r="C780" t="s">
        <v>2474</v>
      </c>
      <c r="D780" t="s">
        <v>932</v>
      </c>
      <c r="E780">
        <v>200</v>
      </c>
      <c r="F780" t="s">
        <v>958</v>
      </c>
      <c r="G780">
        <v>2026</v>
      </c>
      <c r="H780" t="s">
        <v>2474</v>
      </c>
      <c r="I780" t="s">
        <v>2474</v>
      </c>
      <c r="J780" t="s">
        <v>1066</v>
      </c>
      <c r="K780" t="s">
        <v>2474</v>
      </c>
      <c r="M780" t="s">
        <v>920</v>
      </c>
      <c r="N780" t="s">
        <v>2475</v>
      </c>
      <c r="O780" t="s">
        <v>2476</v>
      </c>
    </row>
    <row r="781" spans="1:15" x14ac:dyDescent="0.35">
      <c r="A781" t="s">
        <v>2477</v>
      </c>
      <c r="B781" t="s">
        <v>2478</v>
      </c>
      <c r="C781" t="s">
        <v>2474</v>
      </c>
      <c r="D781" t="s">
        <v>932</v>
      </c>
      <c r="E781">
        <v>200</v>
      </c>
      <c r="F781" t="s">
        <v>1006</v>
      </c>
      <c r="G781">
        <v>2026</v>
      </c>
      <c r="H781" t="s">
        <v>2474</v>
      </c>
      <c r="I781" t="s">
        <v>2474</v>
      </c>
      <c r="J781" t="s">
        <v>1066</v>
      </c>
      <c r="K781" t="s">
        <v>2474</v>
      </c>
      <c r="M781" t="s">
        <v>920</v>
      </c>
      <c r="N781" t="s">
        <v>2479</v>
      </c>
      <c r="O781" t="s">
        <v>2480</v>
      </c>
    </row>
    <row r="782" spans="1:15" x14ac:dyDescent="0.35">
      <c r="A782" t="s">
        <v>2481</v>
      </c>
      <c r="B782" t="s">
        <v>2482</v>
      </c>
      <c r="C782" t="s">
        <v>2474</v>
      </c>
      <c r="D782" t="s">
        <v>932</v>
      </c>
      <c r="E782">
        <v>200</v>
      </c>
      <c r="F782" t="s">
        <v>933</v>
      </c>
      <c r="G782">
        <v>2026</v>
      </c>
      <c r="H782" t="s">
        <v>2474</v>
      </c>
      <c r="I782" t="s">
        <v>2474</v>
      </c>
      <c r="J782" t="s">
        <v>1066</v>
      </c>
      <c r="K782" t="s">
        <v>2474</v>
      </c>
      <c r="M782" t="s">
        <v>920</v>
      </c>
      <c r="N782" t="s">
        <v>2483</v>
      </c>
      <c r="O782" t="s">
        <v>2484</v>
      </c>
    </row>
    <row r="783" spans="1:15" x14ac:dyDescent="0.35">
      <c r="A783" t="s">
        <v>2498</v>
      </c>
      <c r="B783" t="s">
        <v>2473</v>
      </c>
      <c r="C783" t="s">
        <v>2474</v>
      </c>
      <c r="D783" t="s">
        <v>932</v>
      </c>
      <c r="E783">
        <v>200</v>
      </c>
      <c r="F783" t="s">
        <v>958</v>
      </c>
      <c r="G783">
        <v>2026</v>
      </c>
      <c r="H783" t="s">
        <v>2474</v>
      </c>
      <c r="I783" t="s">
        <v>2474</v>
      </c>
      <c r="J783" t="s">
        <v>1066</v>
      </c>
      <c r="K783" t="s">
        <v>2474</v>
      </c>
      <c r="M783" t="s">
        <v>952</v>
      </c>
      <c r="N783" t="s">
        <v>2475</v>
      </c>
      <c r="O783" t="s">
        <v>2476</v>
      </c>
    </row>
    <row r="784" spans="1:15" x14ac:dyDescent="0.35">
      <c r="A784" t="s">
        <v>2499</v>
      </c>
      <c r="B784" t="s">
        <v>2478</v>
      </c>
      <c r="C784" t="s">
        <v>2474</v>
      </c>
      <c r="D784" t="s">
        <v>932</v>
      </c>
      <c r="E784">
        <v>200</v>
      </c>
      <c r="F784" t="s">
        <v>1006</v>
      </c>
      <c r="G784">
        <v>2026</v>
      </c>
      <c r="H784" t="s">
        <v>2474</v>
      </c>
      <c r="I784" t="s">
        <v>2474</v>
      </c>
      <c r="J784" t="s">
        <v>1066</v>
      </c>
      <c r="K784" t="s">
        <v>2474</v>
      </c>
      <c r="M784" t="s">
        <v>952</v>
      </c>
      <c r="N784" t="s">
        <v>2479</v>
      </c>
      <c r="O784" t="s">
        <v>2480</v>
      </c>
    </row>
    <row r="785" spans="1:15" x14ac:dyDescent="0.35">
      <c r="A785" t="s">
        <v>2500</v>
      </c>
      <c r="B785" t="s">
        <v>2482</v>
      </c>
      <c r="C785" t="s">
        <v>2474</v>
      </c>
      <c r="D785" t="s">
        <v>932</v>
      </c>
      <c r="E785">
        <v>200</v>
      </c>
      <c r="F785" t="s">
        <v>933</v>
      </c>
      <c r="G785">
        <v>2026</v>
      </c>
      <c r="H785" t="s">
        <v>2474</v>
      </c>
      <c r="I785" t="s">
        <v>2474</v>
      </c>
      <c r="J785" t="s">
        <v>1066</v>
      </c>
      <c r="K785" t="s">
        <v>2474</v>
      </c>
      <c r="M785" t="s">
        <v>952</v>
      </c>
      <c r="N785" t="s">
        <v>2483</v>
      </c>
      <c r="O785" t="s">
        <v>2484</v>
      </c>
    </row>
    <row r="786" spans="1:15" x14ac:dyDescent="0.35">
      <c r="A786" t="s">
        <v>2504</v>
      </c>
      <c r="B786" t="s">
        <v>2473</v>
      </c>
      <c r="C786" t="s">
        <v>2474</v>
      </c>
      <c r="D786" t="s">
        <v>932</v>
      </c>
      <c r="E786">
        <v>200</v>
      </c>
      <c r="F786" t="s">
        <v>958</v>
      </c>
      <c r="G786">
        <v>2026</v>
      </c>
      <c r="H786" t="s">
        <v>2474</v>
      </c>
      <c r="I786" t="s">
        <v>2474</v>
      </c>
      <c r="J786" t="s">
        <v>1066</v>
      </c>
      <c r="K786" t="s">
        <v>2474</v>
      </c>
      <c r="M786" t="s">
        <v>918</v>
      </c>
      <c r="N786" t="s">
        <v>2475</v>
      </c>
      <c r="O786" t="s">
        <v>2476</v>
      </c>
    </row>
    <row r="787" spans="1:15" x14ac:dyDescent="0.35">
      <c r="A787" t="s">
        <v>2505</v>
      </c>
      <c r="B787" t="s">
        <v>2478</v>
      </c>
      <c r="C787" t="s">
        <v>2474</v>
      </c>
      <c r="D787" t="s">
        <v>932</v>
      </c>
      <c r="E787">
        <v>200</v>
      </c>
      <c r="F787" t="s">
        <v>1006</v>
      </c>
      <c r="G787">
        <v>2026</v>
      </c>
      <c r="H787" t="s">
        <v>2474</v>
      </c>
      <c r="I787" t="s">
        <v>2474</v>
      </c>
      <c r="J787" t="s">
        <v>1066</v>
      </c>
      <c r="K787" t="s">
        <v>2474</v>
      </c>
      <c r="M787" t="s">
        <v>918</v>
      </c>
      <c r="N787" t="s">
        <v>2479</v>
      </c>
      <c r="O787" t="s">
        <v>2480</v>
      </c>
    </row>
    <row r="788" spans="1:15" x14ac:dyDescent="0.35">
      <c r="A788" t="s">
        <v>2506</v>
      </c>
      <c r="B788" t="s">
        <v>2482</v>
      </c>
      <c r="C788" t="s">
        <v>2474</v>
      </c>
      <c r="D788" t="s">
        <v>932</v>
      </c>
      <c r="E788">
        <v>200</v>
      </c>
      <c r="F788" t="s">
        <v>933</v>
      </c>
      <c r="G788">
        <v>2026</v>
      </c>
      <c r="H788" t="s">
        <v>2474</v>
      </c>
      <c r="I788" t="s">
        <v>2474</v>
      </c>
      <c r="J788" t="s">
        <v>1066</v>
      </c>
      <c r="K788" t="s">
        <v>2474</v>
      </c>
      <c r="M788" t="s">
        <v>918</v>
      </c>
      <c r="N788" t="s">
        <v>2483</v>
      </c>
      <c r="O788" t="s">
        <v>2484</v>
      </c>
    </row>
    <row r="789" spans="1:15" x14ac:dyDescent="0.35">
      <c r="A789" t="s">
        <v>2510</v>
      </c>
      <c r="B789" t="s">
        <v>2473</v>
      </c>
      <c r="C789" t="s">
        <v>2474</v>
      </c>
      <c r="D789" t="s">
        <v>932</v>
      </c>
      <c r="E789">
        <v>200</v>
      </c>
      <c r="F789" t="s">
        <v>958</v>
      </c>
      <c r="G789">
        <v>2026</v>
      </c>
      <c r="H789" t="s">
        <v>2474</v>
      </c>
      <c r="I789" t="s">
        <v>2474</v>
      </c>
      <c r="J789" t="s">
        <v>1066</v>
      </c>
      <c r="K789" t="s">
        <v>2474</v>
      </c>
      <c r="M789" t="s">
        <v>969</v>
      </c>
      <c r="N789" t="s">
        <v>2475</v>
      </c>
      <c r="O789" t="s">
        <v>2476</v>
      </c>
    </row>
    <row r="790" spans="1:15" x14ac:dyDescent="0.35">
      <c r="A790" t="s">
        <v>2511</v>
      </c>
      <c r="B790" t="s">
        <v>2478</v>
      </c>
      <c r="C790" t="s">
        <v>2474</v>
      </c>
      <c r="D790" t="s">
        <v>932</v>
      </c>
      <c r="E790">
        <v>200</v>
      </c>
      <c r="F790" t="s">
        <v>1006</v>
      </c>
      <c r="G790">
        <v>2026</v>
      </c>
      <c r="H790" t="s">
        <v>2474</v>
      </c>
      <c r="I790" t="s">
        <v>2474</v>
      </c>
      <c r="J790" t="s">
        <v>1066</v>
      </c>
      <c r="K790" t="s">
        <v>2474</v>
      </c>
      <c r="M790" t="s">
        <v>969</v>
      </c>
      <c r="N790" t="s">
        <v>2479</v>
      </c>
      <c r="O790" t="s">
        <v>2480</v>
      </c>
    </row>
    <row r="791" spans="1:15" x14ac:dyDescent="0.35">
      <c r="A791" t="s">
        <v>2512</v>
      </c>
      <c r="B791" t="s">
        <v>2482</v>
      </c>
      <c r="C791" t="s">
        <v>2474</v>
      </c>
      <c r="D791" t="s">
        <v>932</v>
      </c>
      <c r="E791">
        <v>200</v>
      </c>
      <c r="F791" t="s">
        <v>933</v>
      </c>
      <c r="G791">
        <v>2026</v>
      </c>
      <c r="H791" t="s">
        <v>2474</v>
      </c>
      <c r="I791" t="s">
        <v>2474</v>
      </c>
      <c r="J791" t="s">
        <v>1066</v>
      </c>
      <c r="K791" t="s">
        <v>2474</v>
      </c>
      <c r="M791" t="s">
        <v>969</v>
      </c>
      <c r="N791" t="s">
        <v>2483</v>
      </c>
      <c r="O791" t="s">
        <v>2484</v>
      </c>
    </row>
    <row r="792" spans="1:15" x14ac:dyDescent="0.35">
      <c r="A792" t="s">
        <v>1062</v>
      </c>
      <c r="B792" t="s">
        <v>1063</v>
      </c>
      <c r="C792" t="s">
        <v>1064</v>
      </c>
      <c r="D792" t="s">
        <v>932</v>
      </c>
      <c r="E792">
        <v>200</v>
      </c>
      <c r="F792" t="s">
        <v>933</v>
      </c>
      <c r="G792">
        <v>2025</v>
      </c>
      <c r="H792" t="s">
        <v>1064</v>
      </c>
      <c r="I792" t="s">
        <v>1065</v>
      </c>
      <c r="J792" t="s">
        <v>1066</v>
      </c>
      <c r="K792" t="s">
        <v>1064</v>
      </c>
      <c r="L792" t="s">
        <v>1067</v>
      </c>
      <c r="M792" t="s">
        <v>920</v>
      </c>
      <c r="N792" t="s">
        <v>1068</v>
      </c>
      <c r="O792" t="s">
        <v>1069</v>
      </c>
    </row>
    <row r="793" spans="1:15" x14ac:dyDescent="0.35">
      <c r="A793" t="s">
        <v>1070</v>
      </c>
      <c r="B793" t="s">
        <v>1071</v>
      </c>
      <c r="C793" t="s">
        <v>1064</v>
      </c>
      <c r="D793" t="s">
        <v>932</v>
      </c>
      <c r="E793">
        <v>200</v>
      </c>
      <c r="F793" t="s">
        <v>958</v>
      </c>
      <c r="G793">
        <v>2024</v>
      </c>
      <c r="H793" t="s">
        <v>1064</v>
      </c>
      <c r="I793" t="s">
        <v>1065</v>
      </c>
      <c r="J793" t="s">
        <v>1066</v>
      </c>
      <c r="K793" t="s">
        <v>1064</v>
      </c>
      <c r="L793" t="s">
        <v>1067</v>
      </c>
      <c r="M793" t="s">
        <v>920</v>
      </c>
      <c r="N793" t="s">
        <v>1072</v>
      </c>
      <c r="O793" t="s">
        <v>922</v>
      </c>
    </row>
    <row r="794" spans="1:15" x14ac:dyDescent="0.35">
      <c r="A794" t="s">
        <v>1073</v>
      </c>
      <c r="B794" t="s">
        <v>1074</v>
      </c>
      <c r="C794" t="s">
        <v>1064</v>
      </c>
      <c r="D794" t="s">
        <v>932</v>
      </c>
      <c r="E794">
        <v>200</v>
      </c>
      <c r="F794" t="s">
        <v>958</v>
      </c>
      <c r="G794">
        <v>2025</v>
      </c>
      <c r="H794" t="s">
        <v>1064</v>
      </c>
      <c r="I794" t="s">
        <v>1065</v>
      </c>
      <c r="J794" t="s">
        <v>1066</v>
      </c>
      <c r="K794" t="s">
        <v>1064</v>
      </c>
      <c r="L794" t="s">
        <v>1067</v>
      </c>
      <c r="M794" t="s">
        <v>920</v>
      </c>
      <c r="N794" t="s">
        <v>1072</v>
      </c>
      <c r="O794" t="s">
        <v>1075</v>
      </c>
    </row>
    <row r="795" spans="1:15" x14ac:dyDescent="0.35">
      <c r="A795" t="s">
        <v>1076</v>
      </c>
      <c r="B795" t="s">
        <v>1077</v>
      </c>
      <c r="C795" t="s">
        <v>1064</v>
      </c>
      <c r="D795" t="s">
        <v>932</v>
      </c>
      <c r="E795">
        <v>200</v>
      </c>
      <c r="F795" t="s">
        <v>942</v>
      </c>
      <c r="G795">
        <v>2024</v>
      </c>
      <c r="H795" t="s">
        <v>1064</v>
      </c>
      <c r="I795" t="s">
        <v>1065</v>
      </c>
      <c r="J795" t="s">
        <v>1066</v>
      </c>
      <c r="K795" t="s">
        <v>1064</v>
      </c>
      <c r="L795" t="s">
        <v>1067</v>
      </c>
      <c r="M795" t="s">
        <v>920</v>
      </c>
      <c r="N795" t="s">
        <v>1078</v>
      </c>
      <c r="O795" t="s">
        <v>922</v>
      </c>
    </row>
    <row r="796" spans="1:15" x14ac:dyDescent="0.35">
      <c r="A796" t="s">
        <v>1079</v>
      </c>
      <c r="B796" t="s">
        <v>1080</v>
      </c>
      <c r="C796" t="s">
        <v>1064</v>
      </c>
      <c r="D796" t="s">
        <v>932</v>
      </c>
      <c r="E796">
        <v>200</v>
      </c>
      <c r="F796" t="s">
        <v>942</v>
      </c>
      <c r="G796">
        <v>2025</v>
      </c>
      <c r="H796" t="s">
        <v>1064</v>
      </c>
      <c r="I796" t="s">
        <v>1065</v>
      </c>
      <c r="J796" t="s">
        <v>1066</v>
      </c>
      <c r="K796" t="s">
        <v>1064</v>
      </c>
      <c r="L796" t="s">
        <v>1067</v>
      </c>
      <c r="M796" t="s">
        <v>920</v>
      </c>
      <c r="N796" t="s">
        <v>1078</v>
      </c>
      <c r="O796" t="s">
        <v>1081</v>
      </c>
    </row>
    <row r="797" spans="1:15" x14ac:dyDescent="0.35">
      <c r="A797" t="s">
        <v>1082</v>
      </c>
      <c r="B797" t="s">
        <v>1083</v>
      </c>
      <c r="C797" t="s">
        <v>1064</v>
      </c>
      <c r="D797" t="s">
        <v>932</v>
      </c>
      <c r="E797">
        <v>200</v>
      </c>
      <c r="F797" t="s">
        <v>1006</v>
      </c>
      <c r="G797">
        <v>2024</v>
      </c>
      <c r="H797" t="s">
        <v>1064</v>
      </c>
      <c r="I797" t="s">
        <v>1065</v>
      </c>
      <c r="J797" t="s">
        <v>1066</v>
      </c>
      <c r="K797" t="s">
        <v>1064</v>
      </c>
      <c r="L797" t="s">
        <v>1067</v>
      </c>
      <c r="M797" t="s">
        <v>920</v>
      </c>
      <c r="N797" t="s">
        <v>1084</v>
      </c>
      <c r="O797" t="s">
        <v>922</v>
      </c>
    </row>
    <row r="798" spans="1:15" x14ac:dyDescent="0.35">
      <c r="A798" t="s">
        <v>1085</v>
      </c>
      <c r="B798" t="s">
        <v>1086</v>
      </c>
      <c r="C798" t="s">
        <v>1064</v>
      </c>
      <c r="D798" t="s">
        <v>932</v>
      </c>
      <c r="E798">
        <v>200</v>
      </c>
      <c r="F798" t="s">
        <v>1006</v>
      </c>
      <c r="G798">
        <v>2025</v>
      </c>
      <c r="H798" t="s">
        <v>1064</v>
      </c>
      <c r="I798" t="s">
        <v>1065</v>
      </c>
      <c r="J798" t="s">
        <v>1066</v>
      </c>
      <c r="K798" t="s">
        <v>1064</v>
      </c>
      <c r="L798" t="s">
        <v>1067</v>
      </c>
      <c r="M798" t="s">
        <v>920</v>
      </c>
      <c r="N798" t="s">
        <v>1084</v>
      </c>
      <c r="O798" t="s">
        <v>1087</v>
      </c>
    </row>
    <row r="799" spans="1:15" x14ac:dyDescent="0.35">
      <c r="A799" t="s">
        <v>1161</v>
      </c>
      <c r="B799" t="s">
        <v>1162</v>
      </c>
      <c r="C799" t="s">
        <v>1064</v>
      </c>
      <c r="D799" t="s">
        <v>932</v>
      </c>
      <c r="E799">
        <v>200</v>
      </c>
      <c r="F799" t="s">
        <v>933</v>
      </c>
      <c r="G799">
        <v>2024</v>
      </c>
      <c r="H799" t="s">
        <v>1064</v>
      </c>
      <c r="I799" t="s">
        <v>1065</v>
      </c>
      <c r="J799" t="s">
        <v>1066</v>
      </c>
      <c r="K799" t="s">
        <v>1064</v>
      </c>
      <c r="L799" t="s">
        <v>1067</v>
      </c>
      <c r="M799" t="s">
        <v>952</v>
      </c>
      <c r="N799" t="s">
        <v>1068</v>
      </c>
      <c r="O799" t="s">
        <v>922</v>
      </c>
    </row>
    <row r="800" spans="1:15" x14ac:dyDescent="0.35">
      <c r="A800" t="s">
        <v>1163</v>
      </c>
      <c r="B800" t="s">
        <v>1164</v>
      </c>
      <c r="C800" t="s">
        <v>1064</v>
      </c>
      <c r="D800" t="s">
        <v>932</v>
      </c>
      <c r="E800">
        <v>200</v>
      </c>
      <c r="F800" t="s">
        <v>933</v>
      </c>
      <c r="G800">
        <v>2024</v>
      </c>
      <c r="H800" t="s">
        <v>1064</v>
      </c>
      <c r="I800" t="s">
        <v>1065</v>
      </c>
      <c r="J800" t="s">
        <v>1066</v>
      </c>
      <c r="K800" t="s">
        <v>1064</v>
      </c>
      <c r="L800" t="s">
        <v>1067</v>
      </c>
      <c r="M800" t="s">
        <v>969</v>
      </c>
      <c r="N800" t="s">
        <v>1068</v>
      </c>
      <c r="O800" t="s">
        <v>922</v>
      </c>
    </row>
    <row r="801" spans="1:15" x14ac:dyDescent="0.35">
      <c r="A801" t="s">
        <v>302</v>
      </c>
      <c r="B801" t="s">
        <v>29</v>
      </c>
      <c r="C801" t="s">
        <v>1064</v>
      </c>
      <c r="D801" t="s">
        <v>932</v>
      </c>
      <c r="E801">
        <v>200</v>
      </c>
      <c r="F801" t="s">
        <v>933</v>
      </c>
      <c r="G801">
        <v>2024</v>
      </c>
      <c r="H801" t="s">
        <v>1064</v>
      </c>
      <c r="I801" t="s">
        <v>1065</v>
      </c>
      <c r="J801" t="s">
        <v>1066</v>
      </c>
      <c r="K801" t="s">
        <v>1064</v>
      </c>
      <c r="L801" t="s">
        <v>1067</v>
      </c>
      <c r="M801" t="s">
        <v>918</v>
      </c>
      <c r="N801" t="s">
        <v>1068</v>
      </c>
      <c r="O801" t="s">
        <v>922</v>
      </c>
    </row>
    <row r="802" spans="1:15" x14ac:dyDescent="0.35">
      <c r="A802" t="s">
        <v>671</v>
      </c>
      <c r="B802" t="s">
        <v>1165</v>
      </c>
      <c r="C802" t="s">
        <v>1064</v>
      </c>
      <c r="D802" t="s">
        <v>932</v>
      </c>
      <c r="E802">
        <v>200</v>
      </c>
      <c r="F802" t="s">
        <v>933</v>
      </c>
      <c r="G802">
        <v>2025</v>
      </c>
      <c r="H802" t="s">
        <v>1064</v>
      </c>
      <c r="I802" t="s">
        <v>1065</v>
      </c>
      <c r="J802" t="s">
        <v>1066</v>
      </c>
      <c r="K802" t="s">
        <v>1064</v>
      </c>
      <c r="L802" t="s">
        <v>1067</v>
      </c>
      <c r="M802" t="s">
        <v>952</v>
      </c>
      <c r="N802" t="s">
        <v>1068</v>
      </c>
      <c r="O802" t="s">
        <v>1069</v>
      </c>
    </row>
    <row r="803" spans="1:15" x14ac:dyDescent="0.35">
      <c r="A803" t="s">
        <v>1166</v>
      </c>
      <c r="B803" t="s">
        <v>1167</v>
      </c>
      <c r="C803" t="s">
        <v>1064</v>
      </c>
      <c r="D803" t="s">
        <v>932</v>
      </c>
      <c r="E803">
        <v>200</v>
      </c>
      <c r="F803" t="s">
        <v>933</v>
      </c>
      <c r="G803">
        <v>2025</v>
      </c>
      <c r="H803" t="s">
        <v>1064</v>
      </c>
      <c r="I803" t="s">
        <v>1065</v>
      </c>
      <c r="J803" t="s">
        <v>1066</v>
      </c>
      <c r="K803" t="s">
        <v>1064</v>
      </c>
      <c r="L803" t="s">
        <v>1067</v>
      </c>
      <c r="M803" t="s">
        <v>969</v>
      </c>
      <c r="N803" t="s">
        <v>1068</v>
      </c>
      <c r="O803" t="s">
        <v>1069</v>
      </c>
    </row>
    <row r="804" spans="1:15" x14ac:dyDescent="0.35">
      <c r="A804" t="s">
        <v>283</v>
      </c>
      <c r="B804" t="s">
        <v>119</v>
      </c>
      <c r="C804" t="s">
        <v>1064</v>
      </c>
      <c r="D804" t="s">
        <v>932</v>
      </c>
      <c r="E804">
        <v>200</v>
      </c>
      <c r="F804" t="s">
        <v>933</v>
      </c>
      <c r="G804">
        <v>2025</v>
      </c>
      <c r="H804" t="s">
        <v>1064</v>
      </c>
      <c r="I804" t="s">
        <v>1065</v>
      </c>
      <c r="J804" t="s">
        <v>1066</v>
      </c>
      <c r="K804" t="s">
        <v>1064</v>
      </c>
      <c r="L804" t="s">
        <v>1067</v>
      </c>
      <c r="M804" t="s">
        <v>918</v>
      </c>
      <c r="N804" t="s">
        <v>1068</v>
      </c>
      <c r="O804" t="s">
        <v>1069</v>
      </c>
    </row>
    <row r="805" spans="1:15" x14ac:dyDescent="0.35">
      <c r="A805" t="s">
        <v>1168</v>
      </c>
      <c r="B805" t="s">
        <v>1169</v>
      </c>
      <c r="C805" t="s">
        <v>1064</v>
      </c>
      <c r="D805" t="s">
        <v>932</v>
      </c>
      <c r="E805">
        <v>200</v>
      </c>
      <c r="F805" t="s">
        <v>958</v>
      </c>
      <c r="G805">
        <v>2024</v>
      </c>
      <c r="H805" t="s">
        <v>1064</v>
      </c>
      <c r="I805" t="s">
        <v>1065</v>
      </c>
      <c r="J805" t="s">
        <v>1066</v>
      </c>
      <c r="K805" t="s">
        <v>1064</v>
      </c>
      <c r="L805" t="s">
        <v>1067</v>
      </c>
      <c r="M805" t="s">
        <v>952</v>
      </c>
      <c r="N805" t="s">
        <v>1072</v>
      </c>
      <c r="O805" t="s">
        <v>922</v>
      </c>
    </row>
    <row r="806" spans="1:15" x14ac:dyDescent="0.35">
      <c r="A806" t="s">
        <v>1170</v>
      </c>
      <c r="B806" t="s">
        <v>1171</v>
      </c>
      <c r="C806" t="s">
        <v>1064</v>
      </c>
      <c r="D806" t="s">
        <v>932</v>
      </c>
      <c r="E806">
        <v>200</v>
      </c>
      <c r="F806" t="s">
        <v>958</v>
      </c>
      <c r="G806">
        <v>2024</v>
      </c>
      <c r="H806" t="s">
        <v>1064</v>
      </c>
      <c r="I806" t="s">
        <v>1065</v>
      </c>
      <c r="J806" t="s">
        <v>1066</v>
      </c>
      <c r="K806" t="s">
        <v>1064</v>
      </c>
      <c r="L806" t="s">
        <v>1067</v>
      </c>
      <c r="M806" t="s">
        <v>969</v>
      </c>
      <c r="N806" t="s">
        <v>1072</v>
      </c>
      <c r="O806" t="s">
        <v>922</v>
      </c>
    </row>
    <row r="807" spans="1:15" x14ac:dyDescent="0.35">
      <c r="A807" t="s">
        <v>291</v>
      </c>
      <c r="B807" t="s">
        <v>32</v>
      </c>
      <c r="C807" t="s">
        <v>1064</v>
      </c>
      <c r="D807" t="s">
        <v>932</v>
      </c>
      <c r="E807">
        <v>200</v>
      </c>
      <c r="F807" t="s">
        <v>958</v>
      </c>
      <c r="G807">
        <v>2024</v>
      </c>
      <c r="H807" t="s">
        <v>1064</v>
      </c>
      <c r="I807" t="s">
        <v>1065</v>
      </c>
      <c r="J807" t="s">
        <v>1066</v>
      </c>
      <c r="K807" t="s">
        <v>1064</v>
      </c>
      <c r="L807" t="s">
        <v>1067</v>
      </c>
      <c r="M807" t="s">
        <v>918</v>
      </c>
      <c r="N807" t="s">
        <v>1072</v>
      </c>
      <c r="O807" t="s">
        <v>922</v>
      </c>
    </row>
    <row r="808" spans="1:15" x14ac:dyDescent="0.35">
      <c r="A808" t="s">
        <v>672</v>
      </c>
      <c r="B808" t="s">
        <v>1172</v>
      </c>
      <c r="C808" t="s">
        <v>1064</v>
      </c>
      <c r="D808" t="s">
        <v>932</v>
      </c>
      <c r="E808">
        <v>200</v>
      </c>
      <c r="F808" t="s">
        <v>958</v>
      </c>
      <c r="G808">
        <v>2025</v>
      </c>
      <c r="H808" t="s">
        <v>1064</v>
      </c>
      <c r="I808" t="s">
        <v>1065</v>
      </c>
      <c r="J808" t="s">
        <v>1066</v>
      </c>
      <c r="K808" t="s">
        <v>1064</v>
      </c>
      <c r="L808" t="s">
        <v>1067</v>
      </c>
      <c r="M808" t="s">
        <v>952</v>
      </c>
      <c r="N808" t="s">
        <v>1072</v>
      </c>
      <c r="O808" t="s">
        <v>1075</v>
      </c>
    </row>
    <row r="809" spans="1:15" x14ac:dyDescent="0.35">
      <c r="A809" t="s">
        <v>1173</v>
      </c>
      <c r="B809" t="s">
        <v>1174</v>
      </c>
      <c r="C809" t="s">
        <v>1064</v>
      </c>
      <c r="D809" t="s">
        <v>932</v>
      </c>
      <c r="E809">
        <v>200</v>
      </c>
      <c r="F809" t="s">
        <v>958</v>
      </c>
      <c r="G809">
        <v>2025</v>
      </c>
      <c r="H809" t="s">
        <v>1064</v>
      </c>
      <c r="I809" t="s">
        <v>1065</v>
      </c>
      <c r="J809" t="s">
        <v>1066</v>
      </c>
      <c r="K809" t="s">
        <v>1064</v>
      </c>
      <c r="L809" t="s">
        <v>1067</v>
      </c>
      <c r="M809" t="s">
        <v>969</v>
      </c>
      <c r="N809" t="s">
        <v>1072</v>
      </c>
      <c r="O809" t="s">
        <v>1075</v>
      </c>
    </row>
    <row r="810" spans="1:15" x14ac:dyDescent="0.35">
      <c r="A810" t="s">
        <v>285</v>
      </c>
      <c r="B810" t="s">
        <v>120</v>
      </c>
      <c r="C810" t="s">
        <v>1064</v>
      </c>
      <c r="D810" t="s">
        <v>932</v>
      </c>
      <c r="E810">
        <v>200</v>
      </c>
      <c r="F810" t="s">
        <v>958</v>
      </c>
      <c r="G810">
        <v>2025</v>
      </c>
      <c r="H810" t="s">
        <v>1064</v>
      </c>
      <c r="I810" t="s">
        <v>1065</v>
      </c>
      <c r="J810" t="s">
        <v>1066</v>
      </c>
      <c r="K810" t="s">
        <v>1064</v>
      </c>
      <c r="L810" t="s">
        <v>1067</v>
      </c>
      <c r="M810" t="s">
        <v>918</v>
      </c>
      <c r="N810" t="s">
        <v>1072</v>
      </c>
      <c r="O810" t="s">
        <v>1075</v>
      </c>
    </row>
    <row r="811" spans="1:15" x14ac:dyDescent="0.35">
      <c r="A811" t="s">
        <v>1175</v>
      </c>
      <c r="B811" t="s">
        <v>1176</v>
      </c>
      <c r="C811" t="s">
        <v>1064</v>
      </c>
      <c r="D811" t="s">
        <v>932</v>
      </c>
      <c r="E811">
        <v>200</v>
      </c>
      <c r="F811" t="s">
        <v>942</v>
      </c>
      <c r="G811">
        <v>2024</v>
      </c>
      <c r="H811" t="s">
        <v>1064</v>
      </c>
      <c r="I811" t="s">
        <v>1065</v>
      </c>
      <c r="J811" t="s">
        <v>1066</v>
      </c>
      <c r="K811" t="s">
        <v>1064</v>
      </c>
      <c r="L811" t="s">
        <v>1067</v>
      </c>
      <c r="M811" t="s">
        <v>952</v>
      </c>
      <c r="N811" t="s">
        <v>1078</v>
      </c>
      <c r="O811" t="s">
        <v>922</v>
      </c>
    </row>
    <row r="812" spans="1:15" x14ac:dyDescent="0.35">
      <c r="A812" t="s">
        <v>1177</v>
      </c>
      <c r="B812" t="s">
        <v>1178</v>
      </c>
      <c r="C812" t="s">
        <v>1064</v>
      </c>
      <c r="D812" t="s">
        <v>932</v>
      </c>
      <c r="E812">
        <v>200</v>
      </c>
      <c r="F812" t="s">
        <v>942</v>
      </c>
      <c r="G812">
        <v>2024</v>
      </c>
      <c r="H812" t="s">
        <v>1064</v>
      </c>
      <c r="I812" t="s">
        <v>1065</v>
      </c>
      <c r="J812" t="s">
        <v>1066</v>
      </c>
      <c r="K812" t="s">
        <v>1064</v>
      </c>
      <c r="L812" t="s">
        <v>1067</v>
      </c>
      <c r="M812" t="s">
        <v>969</v>
      </c>
      <c r="N812" t="s">
        <v>1078</v>
      </c>
      <c r="O812" t="s">
        <v>922</v>
      </c>
    </row>
    <row r="813" spans="1:15" x14ac:dyDescent="0.35">
      <c r="A813" t="s">
        <v>298</v>
      </c>
      <c r="B813" t="s">
        <v>34</v>
      </c>
      <c r="C813" t="s">
        <v>1064</v>
      </c>
      <c r="D813" t="s">
        <v>932</v>
      </c>
      <c r="E813">
        <v>200</v>
      </c>
      <c r="F813" t="s">
        <v>942</v>
      </c>
      <c r="G813">
        <v>2024</v>
      </c>
      <c r="H813" t="s">
        <v>1064</v>
      </c>
      <c r="I813" t="s">
        <v>1065</v>
      </c>
      <c r="J813" t="s">
        <v>1066</v>
      </c>
      <c r="K813" t="s">
        <v>1064</v>
      </c>
      <c r="L813" t="s">
        <v>1067</v>
      </c>
      <c r="M813" t="s">
        <v>918</v>
      </c>
      <c r="N813" t="s">
        <v>1078</v>
      </c>
      <c r="O813" t="s">
        <v>922</v>
      </c>
    </row>
    <row r="814" spans="1:15" x14ac:dyDescent="0.35">
      <c r="A814" t="s">
        <v>673</v>
      </c>
      <c r="B814" t="s">
        <v>1179</v>
      </c>
      <c r="C814" t="s">
        <v>1064</v>
      </c>
      <c r="D814" t="s">
        <v>932</v>
      </c>
      <c r="E814">
        <v>200</v>
      </c>
      <c r="F814" t="s">
        <v>942</v>
      </c>
      <c r="G814">
        <v>2025</v>
      </c>
      <c r="H814" t="s">
        <v>1064</v>
      </c>
      <c r="I814" t="s">
        <v>1065</v>
      </c>
      <c r="J814" t="s">
        <v>1066</v>
      </c>
      <c r="K814" t="s">
        <v>1064</v>
      </c>
      <c r="L814" t="s">
        <v>1067</v>
      </c>
      <c r="M814" t="s">
        <v>952</v>
      </c>
      <c r="N814" t="s">
        <v>1078</v>
      </c>
      <c r="O814" t="s">
        <v>1081</v>
      </c>
    </row>
    <row r="815" spans="1:15" x14ac:dyDescent="0.35">
      <c r="A815" t="s">
        <v>1180</v>
      </c>
      <c r="B815" t="s">
        <v>1181</v>
      </c>
      <c r="C815" t="s">
        <v>1064</v>
      </c>
      <c r="D815" t="s">
        <v>932</v>
      </c>
      <c r="E815">
        <v>200</v>
      </c>
      <c r="F815" t="s">
        <v>942</v>
      </c>
      <c r="G815">
        <v>2025</v>
      </c>
      <c r="H815" t="s">
        <v>1064</v>
      </c>
      <c r="I815" t="s">
        <v>1065</v>
      </c>
      <c r="J815" t="s">
        <v>1066</v>
      </c>
      <c r="K815" t="s">
        <v>1064</v>
      </c>
      <c r="L815" t="s">
        <v>1067</v>
      </c>
      <c r="M815" t="s">
        <v>969</v>
      </c>
      <c r="N815" t="s">
        <v>1078</v>
      </c>
      <c r="O815" t="s">
        <v>1081</v>
      </c>
    </row>
    <row r="816" spans="1:15" x14ac:dyDescent="0.35">
      <c r="A816" t="s">
        <v>286</v>
      </c>
      <c r="B816" t="s">
        <v>121</v>
      </c>
      <c r="C816" t="s">
        <v>1064</v>
      </c>
      <c r="D816" t="s">
        <v>932</v>
      </c>
      <c r="E816">
        <v>200</v>
      </c>
      <c r="F816" t="s">
        <v>942</v>
      </c>
      <c r="G816">
        <v>2025</v>
      </c>
      <c r="H816" t="s">
        <v>1064</v>
      </c>
      <c r="I816" t="s">
        <v>1065</v>
      </c>
      <c r="J816" t="s">
        <v>1066</v>
      </c>
      <c r="K816" t="s">
        <v>1064</v>
      </c>
      <c r="L816" t="s">
        <v>1067</v>
      </c>
      <c r="M816" t="s">
        <v>918</v>
      </c>
      <c r="N816" t="s">
        <v>1078</v>
      </c>
      <c r="O816" t="s">
        <v>1081</v>
      </c>
    </row>
    <row r="817" spans="1:15" x14ac:dyDescent="0.35">
      <c r="A817" t="s">
        <v>1182</v>
      </c>
      <c r="B817" t="s">
        <v>1183</v>
      </c>
      <c r="C817" t="s">
        <v>1064</v>
      </c>
      <c r="D817" t="s">
        <v>932</v>
      </c>
      <c r="E817">
        <v>200</v>
      </c>
      <c r="F817" t="s">
        <v>1006</v>
      </c>
      <c r="G817">
        <v>2024</v>
      </c>
      <c r="H817" t="s">
        <v>1064</v>
      </c>
      <c r="I817" t="s">
        <v>1065</v>
      </c>
      <c r="J817" t="s">
        <v>1066</v>
      </c>
      <c r="K817" t="s">
        <v>1064</v>
      </c>
      <c r="L817" t="s">
        <v>1067</v>
      </c>
      <c r="M817" t="s">
        <v>952</v>
      </c>
      <c r="N817" t="s">
        <v>1084</v>
      </c>
      <c r="O817" t="s">
        <v>922</v>
      </c>
    </row>
    <row r="818" spans="1:15" x14ac:dyDescent="0.35">
      <c r="A818" t="s">
        <v>1184</v>
      </c>
      <c r="B818" t="s">
        <v>1185</v>
      </c>
      <c r="C818" t="s">
        <v>1064</v>
      </c>
      <c r="D818" t="s">
        <v>932</v>
      </c>
      <c r="E818">
        <v>200</v>
      </c>
      <c r="F818" t="s">
        <v>1006</v>
      </c>
      <c r="G818">
        <v>2024</v>
      </c>
      <c r="H818" t="s">
        <v>1064</v>
      </c>
      <c r="I818" t="s">
        <v>1065</v>
      </c>
      <c r="J818" t="s">
        <v>1066</v>
      </c>
      <c r="K818" t="s">
        <v>1064</v>
      </c>
      <c r="L818" t="s">
        <v>1067</v>
      </c>
      <c r="M818" t="s">
        <v>969</v>
      </c>
      <c r="N818" t="s">
        <v>1084</v>
      </c>
      <c r="O818" t="s">
        <v>922</v>
      </c>
    </row>
    <row r="819" spans="1:15" x14ac:dyDescent="0.35">
      <c r="A819" t="s">
        <v>388</v>
      </c>
      <c r="B819" t="s">
        <v>36</v>
      </c>
      <c r="C819" t="s">
        <v>1064</v>
      </c>
      <c r="D819" t="s">
        <v>932</v>
      </c>
      <c r="E819">
        <v>200</v>
      </c>
      <c r="F819" t="s">
        <v>1006</v>
      </c>
      <c r="G819">
        <v>2024</v>
      </c>
      <c r="H819" t="s">
        <v>1064</v>
      </c>
      <c r="I819" t="s">
        <v>1065</v>
      </c>
      <c r="J819" t="s">
        <v>1066</v>
      </c>
      <c r="K819" t="s">
        <v>1064</v>
      </c>
      <c r="L819" t="s">
        <v>1067</v>
      </c>
      <c r="M819" t="s">
        <v>918</v>
      </c>
      <c r="N819" t="s">
        <v>1084</v>
      </c>
      <c r="O819" t="s">
        <v>922</v>
      </c>
    </row>
    <row r="820" spans="1:15" x14ac:dyDescent="0.35">
      <c r="A820" t="s">
        <v>674</v>
      </c>
      <c r="B820" t="s">
        <v>1186</v>
      </c>
      <c r="C820" t="s">
        <v>1064</v>
      </c>
      <c r="D820" t="s">
        <v>932</v>
      </c>
      <c r="E820">
        <v>200</v>
      </c>
      <c r="F820" t="s">
        <v>1006</v>
      </c>
      <c r="G820">
        <v>2025</v>
      </c>
      <c r="H820" t="s">
        <v>1064</v>
      </c>
      <c r="I820" t="s">
        <v>1065</v>
      </c>
      <c r="J820" t="s">
        <v>1066</v>
      </c>
      <c r="K820" t="s">
        <v>1064</v>
      </c>
      <c r="L820" t="s">
        <v>1067</v>
      </c>
      <c r="M820" t="s">
        <v>952</v>
      </c>
      <c r="N820" t="s">
        <v>1084</v>
      </c>
      <c r="O820" t="s">
        <v>1087</v>
      </c>
    </row>
    <row r="821" spans="1:15" x14ac:dyDescent="0.35">
      <c r="A821" t="s">
        <v>1187</v>
      </c>
      <c r="B821" t="s">
        <v>1188</v>
      </c>
      <c r="C821" t="s">
        <v>1064</v>
      </c>
      <c r="D821" t="s">
        <v>932</v>
      </c>
      <c r="E821">
        <v>200</v>
      </c>
      <c r="F821" t="s">
        <v>1006</v>
      </c>
      <c r="G821">
        <v>2025</v>
      </c>
      <c r="H821" t="s">
        <v>1064</v>
      </c>
      <c r="I821" t="s">
        <v>1065</v>
      </c>
      <c r="J821" t="s">
        <v>1066</v>
      </c>
      <c r="K821" t="s">
        <v>1064</v>
      </c>
      <c r="L821" t="s">
        <v>1067</v>
      </c>
      <c r="M821" t="s">
        <v>969</v>
      </c>
      <c r="N821" t="s">
        <v>1084</v>
      </c>
      <c r="O821" t="s">
        <v>1087</v>
      </c>
    </row>
    <row r="822" spans="1:15" x14ac:dyDescent="0.35">
      <c r="A822" t="s">
        <v>389</v>
      </c>
      <c r="B822" t="s">
        <v>1189</v>
      </c>
      <c r="C822" t="s">
        <v>1064</v>
      </c>
      <c r="D822" t="s">
        <v>932</v>
      </c>
      <c r="E822">
        <v>200</v>
      </c>
      <c r="F822" t="s">
        <v>1006</v>
      </c>
      <c r="G822">
        <v>2025</v>
      </c>
      <c r="H822" t="s">
        <v>1064</v>
      </c>
      <c r="I822" t="s">
        <v>1065</v>
      </c>
      <c r="J822" t="s">
        <v>1066</v>
      </c>
      <c r="K822" t="s">
        <v>1064</v>
      </c>
      <c r="L822" t="s">
        <v>1067</v>
      </c>
      <c r="M822" t="s">
        <v>918</v>
      </c>
      <c r="N822" t="s">
        <v>1084</v>
      </c>
      <c r="O822" t="s">
        <v>1087</v>
      </c>
    </row>
    <row r="823" spans="1:15" x14ac:dyDescent="0.35">
      <c r="A823" t="s">
        <v>2241</v>
      </c>
      <c r="B823" t="s">
        <v>2242</v>
      </c>
      <c r="C823" t="s">
        <v>1064</v>
      </c>
      <c r="D823" t="s">
        <v>932</v>
      </c>
      <c r="E823">
        <v>200</v>
      </c>
      <c r="F823" t="s">
        <v>958</v>
      </c>
      <c r="G823">
        <v>2026</v>
      </c>
      <c r="H823" t="s">
        <v>1064</v>
      </c>
      <c r="I823" t="s">
        <v>1065</v>
      </c>
      <c r="J823" t="s">
        <v>1066</v>
      </c>
      <c r="K823" t="s">
        <v>1064</v>
      </c>
      <c r="L823" t="s">
        <v>1067</v>
      </c>
      <c r="M823" t="s">
        <v>920</v>
      </c>
      <c r="N823" t="s">
        <v>1072</v>
      </c>
      <c r="O823" t="s">
        <v>1075</v>
      </c>
    </row>
    <row r="824" spans="1:15" x14ac:dyDescent="0.35">
      <c r="A824" t="s">
        <v>2243</v>
      </c>
      <c r="B824" t="s">
        <v>2244</v>
      </c>
      <c r="C824" t="s">
        <v>1064</v>
      </c>
      <c r="D824" t="s">
        <v>932</v>
      </c>
      <c r="E824">
        <v>200</v>
      </c>
      <c r="F824" t="s">
        <v>1006</v>
      </c>
      <c r="G824">
        <v>2026</v>
      </c>
      <c r="H824" t="s">
        <v>1064</v>
      </c>
      <c r="I824" t="s">
        <v>1065</v>
      </c>
      <c r="J824" t="s">
        <v>1066</v>
      </c>
      <c r="K824" t="s">
        <v>1064</v>
      </c>
      <c r="L824" t="s">
        <v>1067</v>
      </c>
      <c r="M824" t="s">
        <v>920</v>
      </c>
      <c r="N824" t="s">
        <v>1084</v>
      </c>
      <c r="O824" t="s">
        <v>1087</v>
      </c>
    </row>
    <row r="825" spans="1:15" x14ac:dyDescent="0.35">
      <c r="A825" t="s">
        <v>2245</v>
      </c>
      <c r="B825" t="s">
        <v>2246</v>
      </c>
      <c r="C825" t="s">
        <v>1064</v>
      </c>
      <c r="D825" t="s">
        <v>932</v>
      </c>
      <c r="E825">
        <v>200</v>
      </c>
      <c r="F825" t="s">
        <v>933</v>
      </c>
      <c r="G825">
        <v>2026</v>
      </c>
      <c r="H825" t="s">
        <v>1064</v>
      </c>
      <c r="I825" t="s">
        <v>1065</v>
      </c>
      <c r="J825" t="s">
        <v>1066</v>
      </c>
      <c r="K825" t="s">
        <v>1064</v>
      </c>
      <c r="L825" t="s">
        <v>1067</v>
      </c>
      <c r="M825" t="s">
        <v>920</v>
      </c>
      <c r="N825" t="s">
        <v>1068</v>
      </c>
      <c r="O825" t="s">
        <v>1069</v>
      </c>
    </row>
    <row r="826" spans="1:15" x14ac:dyDescent="0.35">
      <c r="A826" t="s">
        <v>2361</v>
      </c>
      <c r="B826" t="s">
        <v>2362</v>
      </c>
      <c r="C826" t="s">
        <v>1064</v>
      </c>
      <c r="D826" t="s">
        <v>932</v>
      </c>
      <c r="E826">
        <v>200</v>
      </c>
      <c r="F826" t="s">
        <v>958</v>
      </c>
      <c r="G826">
        <v>2026</v>
      </c>
      <c r="H826" t="s">
        <v>1064</v>
      </c>
      <c r="I826" t="s">
        <v>1065</v>
      </c>
      <c r="J826" t="s">
        <v>1066</v>
      </c>
      <c r="K826" t="s">
        <v>1064</v>
      </c>
      <c r="L826" t="s">
        <v>1067</v>
      </c>
      <c r="M826" t="s">
        <v>952</v>
      </c>
      <c r="N826" t="s">
        <v>1072</v>
      </c>
      <c r="O826" t="s">
        <v>1075</v>
      </c>
    </row>
    <row r="827" spans="1:15" x14ac:dyDescent="0.35">
      <c r="A827" t="s">
        <v>2363</v>
      </c>
      <c r="B827" t="s">
        <v>2364</v>
      </c>
      <c r="C827" t="s">
        <v>1064</v>
      </c>
      <c r="D827" t="s">
        <v>932</v>
      </c>
      <c r="E827">
        <v>200</v>
      </c>
      <c r="F827" t="s">
        <v>1006</v>
      </c>
      <c r="G827">
        <v>2026</v>
      </c>
      <c r="H827" t="s">
        <v>1064</v>
      </c>
      <c r="I827" t="s">
        <v>1065</v>
      </c>
      <c r="J827" t="s">
        <v>1066</v>
      </c>
      <c r="K827" t="s">
        <v>1064</v>
      </c>
      <c r="L827" t="s">
        <v>1067</v>
      </c>
      <c r="M827" t="s">
        <v>952</v>
      </c>
      <c r="N827" t="s">
        <v>1084</v>
      </c>
      <c r="O827" t="s">
        <v>1087</v>
      </c>
    </row>
    <row r="828" spans="1:15" x14ac:dyDescent="0.35">
      <c r="A828" t="s">
        <v>2365</v>
      </c>
      <c r="B828" t="s">
        <v>2366</v>
      </c>
      <c r="C828" t="s">
        <v>1064</v>
      </c>
      <c r="D828" t="s">
        <v>932</v>
      </c>
      <c r="E828">
        <v>200</v>
      </c>
      <c r="F828" t="s">
        <v>933</v>
      </c>
      <c r="G828">
        <v>2026</v>
      </c>
      <c r="H828" t="s">
        <v>1064</v>
      </c>
      <c r="I828" t="s">
        <v>1065</v>
      </c>
      <c r="J828" t="s">
        <v>1066</v>
      </c>
      <c r="K828" t="s">
        <v>1064</v>
      </c>
      <c r="L828" t="s">
        <v>1067</v>
      </c>
      <c r="M828" t="s">
        <v>952</v>
      </c>
      <c r="N828" t="s">
        <v>1068</v>
      </c>
      <c r="O828" t="s">
        <v>1069</v>
      </c>
    </row>
    <row r="829" spans="1:15" x14ac:dyDescent="0.35">
      <c r="A829" t="s">
        <v>307</v>
      </c>
      <c r="B829" t="s">
        <v>2362</v>
      </c>
      <c r="C829" t="s">
        <v>1064</v>
      </c>
      <c r="D829" t="s">
        <v>932</v>
      </c>
      <c r="E829">
        <v>200</v>
      </c>
      <c r="F829" t="s">
        <v>958</v>
      </c>
      <c r="G829">
        <v>2026</v>
      </c>
      <c r="H829" t="s">
        <v>1064</v>
      </c>
      <c r="I829" t="s">
        <v>1065</v>
      </c>
      <c r="J829" t="s">
        <v>1066</v>
      </c>
      <c r="K829" t="s">
        <v>1064</v>
      </c>
      <c r="L829" t="s">
        <v>1067</v>
      </c>
      <c r="M829" t="s">
        <v>918</v>
      </c>
      <c r="N829" t="s">
        <v>1072</v>
      </c>
      <c r="O829" t="s">
        <v>1075</v>
      </c>
    </row>
    <row r="830" spans="1:15" x14ac:dyDescent="0.35">
      <c r="A830" t="s">
        <v>390</v>
      </c>
      <c r="B830" t="s">
        <v>2364</v>
      </c>
      <c r="C830" t="s">
        <v>1064</v>
      </c>
      <c r="D830" t="s">
        <v>932</v>
      </c>
      <c r="E830">
        <v>200</v>
      </c>
      <c r="F830" t="s">
        <v>1006</v>
      </c>
      <c r="G830">
        <v>2026</v>
      </c>
      <c r="H830" t="s">
        <v>1064</v>
      </c>
      <c r="I830" t="s">
        <v>1065</v>
      </c>
      <c r="J830" t="s">
        <v>1066</v>
      </c>
      <c r="K830" t="s">
        <v>1064</v>
      </c>
      <c r="L830" t="s">
        <v>1067</v>
      </c>
      <c r="M830" t="s">
        <v>918</v>
      </c>
      <c r="N830" t="s">
        <v>1084</v>
      </c>
      <c r="O830" t="s">
        <v>1087</v>
      </c>
    </row>
    <row r="831" spans="1:15" x14ac:dyDescent="0.35">
      <c r="A831" t="s">
        <v>306</v>
      </c>
      <c r="B831" t="s">
        <v>2366</v>
      </c>
      <c r="C831" t="s">
        <v>1064</v>
      </c>
      <c r="D831" t="s">
        <v>932</v>
      </c>
      <c r="E831">
        <v>200</v>
      </c>
      <c r="F831" t="s">
        <v>933</v>
      </c>
      <c r="G831">
        <v>2026</v>
      </c>
      <c r="H831" t="s">
        <v>1064</v>
      </c>
      <c r="I831" t="s">
        <v>1065</v>
      </c>
      <c r="J831" t="s">
        <v>1066</v>
      </c>
      <c r="K831" t="s">
        <v>1064</v>
      </c>
      <c r="L831" t="s">
        <v>1067</v>
      </c>
      <c r="M831" t="s">
        <v>918</v>
      </c>
      <c r="N831" t="s">
        <v>1068</v>
      </c>
      <c r="O831" t="s">
        <v>1069</v>
      </c>
    </row>
    <row r="832" spans="1:15" x14ac:dyDescent="0.35">
      <c r="A832" t="s">
        <v>2447</v>
      </c>
      <c r="B832" t="s">
        <v>2362</v>
      </c>
      <c r="C832" t="s">
        <v>1064</v>
      </c>
      <c r="D832" t="s">
        <v>932</v>
      </c>
      <c r="E832">
        <v>200</v>
      </c>
      <c r="F832" t="s">
        <v>958</v>
      </c>
      <c r="G832">
        <v>2026</v>
      </c>
      <c r="H832" t="s">
        <v>1064</v>
      </c>
      <c r="I832" t="s">
        <v>1065</v>
      </c>
      <c r="J832" t="s">
        <v>1066</v>
      </c>
      <c r="K832" t="s">
        <v>1064</v>
      </c>
      <c r="L832" t="s">
        <v>1067</v>
      </c>
      <c r="M832" t="s">
        <v>969</v>
      </c>
      <c r="N832" t="s">
        <v>1072</v>
      </c>
      <c r="O832" t="s">
        <v>1075</v>
      </c>
    </row>
    <row r="833" spans="1:15" x14ac:dyDescent="0.35">
      <c r="A833" t="s">
        <v>2448</v>
      </c>
      <c r="B833" t="s">
        <v>2364</v>
      </c>
      <c r="C833" t="s">
        <v>1064</v>
      </c>
      <c r="D833" t="s">
        <v>932</v>
      </c>
      <c r="E833">
        <v>200</v>
      </c>
      <c r="F833" t="s">
        <v>1006</v>
      </c>
      <c r="G833">
        <v>2026</v>
      </c>
      <c r="H833" t="s">
        <v>1064</v>
      </c>
      <c r="I833" t="s">
        <v>1065</v>
      </c>
      <c r="J833" t="s">
        <v>1066</v>
      </c>
      <c r="K833" t="s">
        <v>1064</v>
      </c>
      <c r="L833" t="s">
        <v>1067</v>
      </c>
      <c r="M833" t="s">
        <v>969</v>
      </c>
      <c r="N833" t="s">
        <v>1084</v>
      </c>
      <c r="O833" t="s">
        <v>1087</v>
      </c>
    </row>
    <row r="834" spans="1:15" x14ac:dyDescent="0.35">
      <c r="A834" t="s">
        <v>2449</v>
      </c>
      <c r="B834" t="s">
        <v>2366</v>
      </c>
      <c r="C834" t="s">
        <v>1064</v>
      </c>
      <c r="D834" t="s">
        <v>932</v>
      </c>
      <c r="E834">
        <v>200</v>
      </c>
      <c r="F834" t="s">
        <v>933</v>
      </c>
      <c r="G834">
        <v>2026</v>
      </c>
      <c r="H834" t="s">
        <v>1064</v>
      </c>
      <c r="I834" t="s">
        <v>1065</v>
      </c>
      <c r="J834" t="s">
        <v>1066</v>
      </c>
      <c r="K834" t="s">
        <v>1064</v>
      </c>
      <c r="L834" t="s">
        <v>1067</v>
      </c>
      <c r="M834" t="s">
        <v>969</v>
      </c>
      <c r="N834" t="s">
        <v>1068</v>
      </c>
      <c r="O834" t="s">
        <v>1069</v>
      </c>
    </row>
    <row r="835" spans="1:15" x14ac:dyDescent="0.35">
      <c r="A835" t="s">
        <v>1013</v>
      </c>
      <c r="B835" t="s">
        <v>1014</v>
      </c>
      <c r="C835" t="s">
        <v>787</v>
      </c>
      <c r="D835" t="s">
        <v>932</v>
      </c>
      <c r="E835">
        <v>400</v>
      </c>
      <c r="F835" t="s">
        <v>933</v>
      </c>
      <c r="G835">
        <v>2025</v>
      </c>
      <c r="H835" t="s">
        <v>787</v>
      </c>
      <c r="I835" t="s">
        <v>1015</v>
      </c>
      <c r="J835" t="s">
        <v>1016</v>
      </c>
      <c r="K835" t="s">
        <v>787</v>
      </c>
      <c r="L835" t="s">
        <v>1017</v>
      </c>
      <c r="M835" t="s">
        <v>920</v>
      </c>
      <c r="N835" t="s">
        <v>1018</v>
      </c>
      <c r="O835" t="s">
        <v>1019</v>
      </c>
    </row>
    <row r="836" spans="1:15" x14ac:dyDescent="0.35">
      <c r="A836" t="s">
        <v>1020</v>
      </c>
      <c r="B836" t="s">
        <v>1021</v>
      </c>
      <c r="C836" t="s">
        <v>787</v>
      </c>
      <c r="D836" t="s">
        <v>932</v>
      </c>
      <c r="E836">
        <v>400</v>
      </c>
      <c r="F836" t="s">
        <v>958</v>
      </c>
      <c r="G836">
        <v>2025</v>
      </c>
      <c r="H836" t="s">
        <v>787</v>
      </c>
      <c r="I836" t="s">
        <v>1015</v>
      </c>
      <c r="J836" t="s">
        <v>1016</v>
      </c>
      <c r="K836" t="s">
        <v>787</v>
      </c>
      <c r="L836" t="s">
        <v>1017</v>
      </c>
      <c r="M836" t="s">
        <v>920</v>
      </c>
      <c r="N836" t="s">
        <v>1022</v>
      </c>
      <c r="O836" t="s">
        <v>1023</v>
      </c>
    </row>
    <row r="837" spans="1:15" x14ac:dyDescent="0.35">
      <c r="A837" t="s">
        <v>1024</v>
      </c>
      <c r="B837" t="s">
        <v>1025</v>
      </c>
      <c r="C837" t="s">
        <v>787</v>
      </c>
      <c r="D837" t="s">
        <v>932</v>
      </c>
      <c r="E837">
        <v>400</v>
      </c>
      <c r="F837" t="s">
        <v>942</v>
      </c>
      <c r="G837">
        <v>2025</v>
      </c>
      <c r="H837" t="s">
        <v>787</v>
      </c>
      <c r="I837" t="s">
        <v>1015</v>
      </c>
      <c r="J837" t="s">
        <v>1016</v>
      </c>
      <c r="K837" t="s">
        <v>787</v>
      </c>
      <c r="L837" t="s">
        <v>1017</v>
      </c>
      <c r="M837" t="s">
        <v>920</v>
      </c>
      <c r="N837" t="s">
        <v>1026</v>
      </c>
      <c r="O837" t="s">
        <v>1027</v>
      </c>
    </row>
    <row r="838" spans="1:15" x14ac:dyDescent="0.35">
      <c r="A838" t="s">
        <v>1028</v>
      </c>
      <c r="B838" t="s">
        <v>1029</v>
      </c>
      <c r="C838" t="s">
        <v>787</v>
      </c>
      <c r="D838" t="s">
        <v>932</v>
      </c>
      <c r="E838">
        <v>400</v>
      </c>
      <c r="F838" t="s">
        <v>1006</v>
      </c>
      <c r="G838">
        <v>2025</v>
      </c>
      <c r="H838" t="s">
        <v>787</v>
      </c>
      <c r="I838" t="s">
        <v>1015</v>
      </c>
      <c r="J838" t="s">
        <v>1016</v>
      </c>
      <c r="K838" t="s">
        <v>787</v>
      </c>
      <c r="L838" t="s">
        <v>1017</v>
      </c>
      <c r="M838" t="s">
        <v>920</v>
      </c>
      <c r="N838" t="s">
        <v>1030</v>
      </c>
      <c r="O838" t="s">
        <v>1031</v>
      </c>
    </row>
    <row r="839" spans="1:15" x14ac:dyDescent="0.35">
      <c r="A839" t="s">
        <v>1032</v>
      </c>
      <c r="B839" t="s">
        <v>1033</v>
      </c>
      <c r="C839" t="s">
        <v>787</v>
      </c>
      <c r="D839" t="s">
        <v>932</v>
      </c>
      <c r="E839">
        <v>400</v>
      </c>
      <c r="F839" t="s">
        <v>933</v>
      </c>
      <c r="G839">
        <v>2024</v>
      </c>
      <c r="H839" t="s">
        <v>787</v>
      </c>
      <c r="I839" t="s">
        <v>1015</v>
      </c>
      <c r="J839" t="s">
        <v>1016</v>
      </c>
      <c r="K839" t="s">
        <v>787</v>
      </c>
      <c r="L839" t="s">
        <v>1017</v>
      </c>
      <c r="M839" t="s">
        <v>952</v>
      </c>
      <c r="N839" t="s">
        <v>1018</v>
      </c>
      <c r="O839" t="s">
        <v>922</v>
      </c>
    </row>
    <row r="840" spans="1:15" x14ac:dyDescent="0.35">
      <c r="A840" t="s">
        <v>583</v>
      </c>
      <c r="B840" t="s">
        <v>1034</v>
      </c>
      <c r="C840" t="s">
        <v>787</v>
      </c>
      <c r="D840" t="s">
        <v>932</v>
      </c>
      <c r="E840">
        <v>400</v>
      </c>
      <c r="F840" t="s">
        <v>933</v>
      </c>
      <c r="G840">
        <v>2025</v>
      </c>
      <c r="H840" t="s">
        <v>787</v>
      </c>
      <c r="I840" t="s">
        <v>1015</v>
      </c>
      <c r="J840" t="s">
        <v>1016</v>
      </c>
      <c r="K840" t="s">
        <v>787</v>
      </c>
      <c r="L840" t="s">
        <v>1017</v>
      </c>
      <c r="M840" t="s">
        <v>952</v>
      </c>
      <c r="N840" t="s">
        <v>1018</v>
      </c>
      <c r="O840" t="s">
        <v>1019</v>
      </c>
    </row>
    <row r="841" spans="1:15" x14ac:dyDescent="0.35">
      <c r="A841" t="s">
        <v>280</v>
      </c>
      <c r="B841" t="s">
        <v>115</v>
      </c>
      <c r="C841" t="s">
        <v>787</v>
      </c>
      <c r="D841" t="s">
        <v>932</v>
      </c>
      <c r="E841">
        <v>400</v>
      </c>
      <c r="F841" t="s">
        <v>933</v>
      </c>
      <c r="G841">
        <v>2025</v>
      </c>
      <c r="H841" t="s">
        <v>787</v>
      </c>
      <c r="I841" t="s">
        <v>1015</v>
      </c>
      <c r="J841" t="s">
        <v>1016</v>
      </c>
      <c r="K841" t="s">
        <v>787</v>
      </c>
      <c r="L841" t="s">
        <v>1017</v>
      </c>
      <c r="M841" t="s">
        <v>918</v>
      </c>
      <c r="N841" t="s">
        <v>1018</v>
      </c>
      <c r="O841" t="s">
        <v>1019</v>
      </c>
    </row>
    <row r="842" spans="1:15" x14ac:dyDescent="0.35">
      <c r="A842" t="s">
        <v>1035</v>
      </c>
      <c r="B842" t="s">
        <v>1036</v>
      </c>
      <c r="C842" t="s">
        <v>787</v>
      </c>
      <c r="D842" t="s">
        <v>932</v>
      </c>
      <c r="E842">
        <v>400</v>
      </c>
      <c r="F842" t="s">
        <v>958</v>
      </c>
      <c r="G842">
        <v>2024</v>
      </c>
      <c r="H842" t="s">
        <v>787</v>
      </c>
      <c r="I842" t="s">
        <v>1015</v>
      </c>
      <c r="J842" t="s">
        <v>1016</v>
      </c>
      <c r="K842" t="s">
        <v>787</v>
      </c>
      <c r="L842" t="s">
        <v>1017</v>
      </c>
      <c r="M842" t="s">
        <v>952</v>
      </c>
      <c r="N842" t="s">
        <v>1022</v>
      </c>
      <c r="O842" t="s">
        <v>922</v>
      </c>
    </row>
    <row r="843" spans="1:15" x14ac:dyDescent="0.35">
      <c r="A843" t="s">
        <v>675</v>
      </c>
      <c r="B843" t="s">
        <v>1037</v>
      </c>
      <c r="C843" t="s">
        <v>787</v>
      </c>
      <c r="D843" t="s">
        <v>932</v>
      </c>
      <c r="E843">
        <v>400</v>
      </c>
      <c r="F843" t="s">
        <v>958</v>
      </c>
      <c r="G843">
        <v>2025</v>
      </c>
      <c r="H843" t="s">
        <v>787</v>
      </c>
      <c r="I843" t="s">
        <v>1015</v>
      </c>
      <c r="J843" t="s">
        <v>1016</v>
      </c>
      <c r="K843" t="s">
        <v>787</v>
      </c>
      <c r="L843" t="s">
        <v>1017</v>
      </c>
      <c r="M843" t="s">
        <v>952</v>
      </c>
      <c r="N843" t="s">
        <v>1022</v>
      </c>
      <c r="O843" t="s">
        <v>1023</v>
      </c>
    </row>
    <row r="844" spans="1:15" x14ac:dyDescent="0.35">
      <c r="A844" t="s">
        <v>808</v>
      </c>
      <c r="B844" t="s">
        <v>116</v>
      </c>
      <c r="C844" t="s">
        <v>787</v>
      </c>
      <c r="D844" t="s">
        <v>932</v>
      </c>
      <c r="E844">
        <v>400</v>
      </c>
      <c r="F844" t="s">
        <v>958</v>
      </c>
      <c r="G844">
        <v>2025</v>
      </c>
      <c r="H844" t="s">
        <v>787</v>
      </c>
      <c r="I844" t="s">
        <v>1015</v>
      </c>
      <c r="J844" t="s">
        <v>1016</v>
      </c>
      <c r="K844" t="s">
        <v>787</v>
      </c>
      <c r="L844" t="s">
        <v>1017</v>
      </c>
      <c r="M844" t="s">
        <v>918</v>
      </c>
      <c r="N844" t="s">
        <v>1022</v>
      </c>
      <c r="O844" t="s">
        <v>1023</v>
      </c>
    </row>
    <row r="845" spans="1:15" x14ac:dyDescent="0.35">
      <c r="A845" t="s">
        <v>1038</v>
      </c>
      <c r="B845" t="s">
        <v>1039</v>
      </c>
      <c r="C845" t="s">
        <v>787</v>
      </c>
      <c r="D845" t="s">
        <v>932</v>
      </c>
      <c r="E845">
        <v>400</v>
      </c>
      <c r="F845" t="s">
        <v>942</v>
      </c>
      <c r="G845">
        <v>2024</v>
      </c>
      <c r="H845" t="s">
        <v>787</v>
      </c>
      <c r="I845" t="s">
        <v>1015</v>
      </c>
      <c r="J845" t="s">
        <v>1016</v>
      </c>
      <c r="K845" t="s">
        <v>787</v>
      </c>
      <c r="L845" t="s">
        <v>1017</v>
      </c>
      <c r="M845" t="s">
        <v>952</v>
      </c>
      <c r="N845" t="s">
        <v>1026</v>
      </c>
      <c r="O845" t="s">
        <v>922</v>
      </c>
    </row>
    <row r="846" spans="1:15" x14ac:dyDescent="0.35">
      <c r="A846" t="s">
        <v>1040</v>
      </c>
      <c r="B846" t="s">
        <v>1041</v>
      </c>
      <c r="C846" t="s">
        <v>787</v>
      </c>
      <c r="D846" t="s">
        <v>932</v>
      </c>
      <c r="E846">
        <v>400</v>
      </c>
      <c r="F846" t="s">
        <v>942</v>
      </c>
      <c r="G846">
        <v>2024</v>
      </c>
      <c r="H846" t="s">
        <v>787</v>
      </c>
      <c r="I846" t="s">
        <v>1015</v>
      </c>
      <c r="J846" t="s">
        <v>1016</v>
      </c>
      <c r="K846" t="s">
        <v>787</v>
      </c>
      <c r="L846" t="s">
        <v>1017</v>
      </c>
      <c r="M846" t="s">
        <v>969</v>
      </c>
      <c r="N846" t="s">
        <v>1026</v>
      </c>
      <c r="O846" t="s">
        <v>922</v>
      </c>
    </row>
    <row r="847" spans="1:15" x14ac:dyDescent="0.35">
      <c r="A847" t="s">
        <v>688</v>
      </c>
      <c r="B847" t="s">
        <v>1042</v>
      </c>
      <c r="C847" t="s">
        <v>787</v>
      </c>
      <c r="D847" t="s">
        <v>932</v>
      </c>
      <c r="E847">
        <v>400</v>
      </c>
      <c r="F847" t="s">
        <v>942</v>
      </c>
      <c r="G847">
        <v>2025</v>
      </c>
      <c r="H847" t="s">
        <v>787</v>
      </c>
      <c r="I847" t="s">
        <v>1015</v>
      </c>
      <c r="J847" t="s">
        <v>1016</v>
      </c>
      <c r="K847" t="s">
        <v>787</v>
      </c>
      <c r="L847" t="s">
        <v>1017</v>
      </c>
      <c r="M847" t="s">
        <v>952</v>
      </c>
      <c r="N847" t="s">
        <v>1026</v>
      </c>
      <c r="O847" t="s">
        <v>1027</v>
      </c>
    </row>
    <row r="848" spans="1:15" x14ac:dyDescent="0.35">
      <c r="A848" t="s">
        <v>281</v>
      </c>
      <c r="B848" t="s">
        <v>1043</v>
      </c>
      <c r="C848" t="s">
        <v>787</v>
      </c>
      <c r="D848" t="s">
        <v>932</v>
      </c>
      <c r="E848">
        <v>400</v>
      </c>
      <c r="F848" t="s">
        <v>942</v>
      </c>
      <c r="G848">
        <v>2025</v>
      </c>
      <c r="H848" t="s">
        <v>787</v>
      </c>
      <c r="I848" t="s">
        <v>1015</v>
      </c>
      <c r="J848" t="s">
        <v>1016</v>
      </c>
      <c r="K848" t="s">
        <v>787</v>
      </c>
      <c r="L848" t="s">
        <v>1017</v>
      </c>
      <c r="M848" t="s">
        <v>918</v>
      </c>
      <c r="N848" t="s">
        <v>1026</v>
      </c>
      <c r="O848" t="s">
        <v>1027</v>
      </c>
    </row>
    <row r="849" spans="1:15" x14ac:dyDescent="0.35">
      <c r="A849" t="s">
        <v>1044</v>
      </c>
      <c r="B849" t="s">
        <v>1045</v>
      </c>
      <c r="C849" t="s">
        <v>787</v>
      </c>
      <c r="D849" t="s">
        <v>932</v>
      </c>
      <c r="E849">
        <v>400</v>
      </c>
      <c r="F849" t="s">
        <v>1006</v>
      </c>
      <c r="G849">
        <v>2024</v>
      </c>
      <c r="H849" t="s">
        <v>787</v>
      </c>
      <c r="I849" t="s">
        <v>1015</v>
      </c>
      <c r="J849" t="s">
        <v>1016</v>
      </c>
      <c r="K849" t="s">
        <v>787</v>
      </c>
      <c r="L849" t="s">
        <v>1017</v>
      </c>
      <c r="M849" t="s">
        <v>952</v>
      </c>
      <c r="N849" t="s">
        <v>1030</v>
      </c>
      <c r="O849" t="s">
        <v>922</v>
      </c>
    </row>
    <row r="850" spans="1:15" x14ac:dyDescent="0.35">
      <c r="A850" t="s">
        <v>1046</v>
      </c>
      <c r="B850" t="s">
        <v>1047</v>
      </c>
      <c r="C850" t="s">
        <v>787</v>
      </c>
      <c r="D850" t="s">
        <v>932</v>
      </c>
      <c r="E850">
        <v>400</v>
      </c>
      <c r="F850" t="s">
        <v>1006</v>
      </c>
      <c r="G850">
        <v>2024</v>
      </c>
      <c r="H850" t="s">
        <v>787</v>
      </c>
      <c r="I850" t="s">
        <v>1015</v>
      </c>
      <c r="J850" t="s">
        <v>1016</v>
      </c>
      <c r="K850" t="s">
        <v>787</v>
      </c>
      <c r="L850" t="s">
        <v>1017</v>
      </c>
      <c r="M850" t="s">
        <v>969</v>
      </c>
      <c r="N850" t="s">
        <v>1030</v>
      </c>
      <c r="O850" t="s">
        <v>922</v>
      </c>
    </row>
    <row r="851" spans="1:15" x14ac:dyDescent="0.35">
      <c r="A851" t="s">
        <v>676</v>
      </c>
      <c r="B851" t="s">
        <v>1048</v>
      </c>
      <c r="C851" t="s">
        <v>787</v>
      </c>
      <c r="D851" t="s">
        <v>932</v>
      </c>
      <c r="E851">
        <v>400</v>
      </c>
      <c r="F851" t="s">
        <v>1006</v>
      </c>
      <c r="G851">
        <v>2025</v>
      </c>
      <c r="H851" t="s">
        <v>787</v>
      </c>
      <c r="I851" t="s">
        <v>1015</v>
      </c>
      <c r="J851" t="s">
        <v>1016</v>
      </c>
      <c r="K851" t="s">
        <v>787</v>
      </c>
      <c r="L851" t="s">
        <v>1017</v>
      </c>
      <c r="M851" t="s">
        <v>952</v>
      </c>
      <c r="N851" t="s">
        <v>1030</v>
      </c>
      <c r="O851" t="s">
        <v>1031</v>
      </c>
    </row>
    <row r="852" spans="1:15" x14ac:dyDescent="0.35">
      <c r="A852" t="s">
        <v>279</v>
      </c>
      <c r="B852" t="s">
        <v>118</v>
      </c>
      <c r="C852" t="s">
        <v>787</v>
      </c>
      <c r="D852" t="s">
        <v>932</v>
      </c>
      <c r="E852">
        <v>400</v>
      </c>
      <c r="F852" t="s">
        <v>1006</v>
      </c>
      <c r="G852">
        <v>2025</v>
      </c>
      <c r="H852" t="s">
        <v>787</v>
      </c>
      <c r="I852" t="s">
        <v>1015</v>
      </c>
      <c r="J852" t="s">
        <v>1016</v>
      </c>
      <c r="K852" t="s">
        <v>787</v>
      </c>
      <c r="L852" t="s">
        <v>1017</v>
      </c>
      <c r="M852" t="s">
        <v>918</v>
      </c>
      <c r="N852" t="s">
        <v>1030</v>
      </c>
      <c r="O852" t="s">
        <v>1031</v>
      </c>
    </row>
    <row r="853" spans="1:15" x14ac:dyDescent="0.35">
      <c r="A853" t="s">
        <v>1049</v>
      </c>
      <c r="B853" t="s">
        <v>1050</v>
      </c>
      <c r="C853" t="s">
        <v>787</v>
      </c>
      <c r="D853" t="s">
        <v>932</v>
      </c>
      <c r="E853">
        <v>400</v>
      </c>
      <c r="F853" t="s">
        <v>958</v>
      </c>
      <c r="G853">
        <v>2025</v>
      </c>
      <c r="H853" t="s">
        <v>787</v>
      </c>
      <c r="I853" t="s">
        <v>1015</v>
      </c>
      <c r="J853" t="s">
        <v>1016</v>
      </c>
      <c r="K853" t="s">
        <v>787</v>
      </c>
      <c r="L853" t="s">
        <v>1017</v>
      </c>
      <c r="M853" t="s">
        <v>952</v>
      </c>
      <c r="N853" t="s">
        <v>1022</v>
      </c>
      <c r="O853" t="s">
        <v>1023</v>
      </c>
    </row>
    <row r="854" spans="1:15" x14ac:dyDescent="0.35">
      <c r="A854" t="s">
        <v>1051</v>
      </c>
      <c r="B854" t="s">
        <v>1052</v>
      </c>
      <c r="C854" t="s">
        <v>787</v>
      </c>
      <c r="D854" t="s">
        <v>932</v>
      </c>
      <c r="E854">
        <v>400</v>
      </c>
      <c r="F854" t="s">
        <v>958</v>
      </c>
      <c r="G854">
        <v>2025</v>
      </c>
      <c r="H854" t="s">
        <v>787</v>
      </c>
      <c r="I854" t="s">
        <v>1015</v>
      </c>
      <c r="J854" t="s">
        <v>1016</v>
      </c>
      <c r="K854" t="s">
        <v>787</v>
      </c>
      <c r="L854" t="s">
        <v>1017</v>
      </c>
      <c r="M854" t="s">
        <v>920</v>
      </c>
      <c r="N854" t="s">
        <v>1022</v>
      </c>
      <c r="O854" t="s">
        <v>1023</v>
      </c>
    </row>
    <row r="855" spans="1:15" x14ac:dyDescent="0.35">
      <c r="A855" t="s">
        <v>278</v>
      </c>
      <c r="B855" t="s">
        <v>1053</v>
      </c>
      <c r="C855" t="s">
        <v>787</v>
      </c>
      <c r="D855" t="s">
        <v>932</v>
      </c>
      <c r="E855">
        <v>400</v>
      </c>
      <c r="F855" t="s">
        <v>958</v>
      </c>
      <c r="G855">
        <v>2025</v>
      </c>
      <c r="H855" t="s">
        <v>787</v>
      </c>
      <c r="I855" t="s">
        <v>1015</v>
      </c>
      <c r="J855" t="s">
        <v>1016</v>
      </c>
      <c r="K855" t="s">
        <v>787</v>
      </c>
      <c r="L855" t="s">
        <v>1017</v>
      </c>
      <c r="M855" t="s">
        <v>918</v>
      </c>
      <c r="N855" t="s">
        <v>1022</v>
      </c>
      <c r="O855" t="s">
        <v>1023</v>
      </c>
    </row>
    <row r="856" spans="1:15" x14ac:dyDescent="0.35">
      <c r="A856" t="s">
        <v>1054</v>
      </c>
      <c r="B856" t="s">
        <v>1055</v>
      </c>
      <c r="C856" t="s">
        <v>787</v>
      </c>
      <c r="D856" t="s">
        <v>932</v>
      </c>
      <c r="E856">
        <v>400</v>
      </c>
      <c r="F856" t="s">
        <v>942</v>
      </c>
      <c r="G856">
        <v>2025</v>
      </c>
      <c r="H856" t="s">
        <v>787</v>
      </c>
      <c r="I856" t="s">
        <v>1015</v>
      </c>
      <c r="J856" t="s">
        <v>1016</v>
      </c>
      <c r="K856" t="s">
        <v>787</v>
      </c>
      <c r="L856" t="s">
        <v>1017</v>
      </c>
      <c r="M856" t="s">
        <v>969</v>
      </c>
      <c r="N856" t="s">
        <v>1026</v>
      </c>
      <c r="O856" t="s">
        <v>1027</v>
      </c>
    </row>
    <row r="857" spans="1:15" x14ac:dyDescent="0.35">
      <c r="A857" t="s">
        <v>1056</v>
      </c>
      <c r="B857" t="s">
        <v>1057</v>
      </c>
      <c r="C857" t="s">
        <v>787</v>
      </c>
      <c r="D857" t="s">
        <v>932</v>
      </c>
      <c r="E857">
        <v>400</v>
      </c>
      <c r="F857" t="s">
        <v>933</v>
      </c>
      <c r="G857">
        <v>2025</v>
      </c>
      <c r="H857" t="s">
        <v>787</v>
      </c>
      <c r="I857" t="s">
        <v>1015</v>
      </c>
      <c r="J857" t="s">
        <v>1016</v>
      </c>
      <c r="K857" t="s">
        <v>787</v>
      </c>
      <c r="L857" t="s">
        <v>1017</v>
      </c>
      <c r="M857" t="s">
        <v>969</v>
      </c>
      <c r="N857" t="s">
        <v>1018</v>
      </c>
      <c r="O857" t="s">
        <v>1019</v>
      </c>
    </row>
    <row r="858" spans="1:15" x14ac:dyDescent="0.35">
      <c r="A858" t="s">
        <v>1058</v>
      </c>
      <c r="B858" t="s">
        <v>1059</v>
      </c>
      <c r="C858" t="s">
        <v>787</v>
      </c>
      <c r="D858" t="s">
        <v>932</v>
      </c>
      <c r="E858">
        <v>400</v>
      </c>
      <c r="F858" t="s">
        <v>958</v>
      </c>
      <c r="G858">
        <v>2025</v>
      </c>
      <c r="H858" t="s">
        <v>787</v>
      </c>
      <c r="I858" t="s">
        <v>1015</v>
      </c>
      <c r="J858" t="s">
        <v>1016</v>
      </c>
      <c r="K858" t="s">
        <v>787</v>
      </c>
      <c r="L858" t="s">
        <v>1017</v>
      </c>
      <c r="M858" t="s">
        <v>969</v>
      </c>
      <c r="N858" t="s">
        <v>1022</v>
      </c>
      <c r="O858" t="s">
        <v>1023</v>
      </c>
    </row>
    <row r="859" spans="1:15" x14ac:dyDescent="0.35">
      <c r="A859" t="s">
        <v>1060</v>
      </c>
      <c r="B859" t="s">
        <v>1061</v>
      </c>
      <c r="C859" t="s">
        <v>787</v>
      </c>
      <c r="D859" t="s">
        <v>932</v>
      </c>
      <c r="E859">
        <v>400</v>
      </c>
      <c r="F859" t="s">
        <v>1006</v>
      </c>
      <c r="G859">
        <v>2025</v>
      </c>
      <c r="H859" t="s">
        <v>787</v>
      </c>
      <c r="I859" t="s">
        <v>1015</v>
      </c>
      <c r="J859" t="s">
        <v>1016</v>
      </c>
      <c r="K859" t="s">
        <v>787</v>
      </c>
      <c r="L859" t="s">
        <v>1017</v>
      </c>
      <c r="M859" t="s">
        <v>969</v>
      </c>
      <c r="N859" t="s">
        <v>1030</v>
      </c>
      <c r="O859" t="s">
        <v>1031</v>
      </c>
    </row>
    <row r="860" spans="1:15" x14ac:dyDescent="0.35">
      <c r="A860" t="s">
        <v>680</v>
      </c>
      <c r="B860" t="s">
        <v>623</v>
      </c>
      <c r="C860" t="s">
        <v>787</v>
      </c>
      <c r="D860" t="s">
        <v>932</v>
      </c>
      <c r="E860">
        <v>400</v>
      </c>
      <c r="F860" t="s">
        <v>917</v>
      </c>
      <c r="G860">
        <v>2025</v>
      </c>
      <c r="H860" t="s">
        <v>787</v>
      </c>
      <c r="I860" t="s">
        <v>1015</v>
      </c>
      <c r="J860" t="s">
        <v>1016</v>
      </c>
      <c r="K860" t="s">
        <v>787</v>
      </c>
      <c r="L860" t="s">
        <v>1017</v>
      </c>
      <c r="M860" t="s">
        <v>952</v>
      </c>
      <c r="N860" t="s">
        <v>1392</v>
      </c>
      <c r="O860" t="s">
        <v>922</v>
      </c>
    </row>
    <row r="861" spans="1:15" x14ac:dyDescent="0.35">
      <c r="A861" t="s">
        <v>2257</v>
      </c>
      <c r="B861" t="s">
        <v>2258</v>
      </c>
      <c r="C861" t="s">
        <v>787</v>
      </c>
      <c r="D861" t="s">
        <v>932</v>
      </c>
      <c r="E861">
        <v>400</v>
      </c>
      <c r="F861" t="s">
        <v>958</v>
      </c>
      <c r="G861">
        <v>2026</v>
      </c>
      <c r="H861" t="s">
        <v>787</v>
      </c>
      <c r="I861" t="s">
        <v>1015</v>
      </c>
      <c r="J861" t="s">
        <v>1016</v>
      </c>
      <c r="K861" t="s">
        <v>787</v>
      </c>
      <c r="L861" t="s">
        <v>1017</v>
      </c>
      <c r="M861" t="s">
        <v>920</v>
      </c>
      <c r="N861" t="s">
        <v>1022</v>
      </c>
      <c r="O861" t="s">
        <v>1023</v>
      </c>
    </row>
    <row r="862" spans="1:15" x14ac:dyDescent="0.35">
      <c r="A862" t="s">
        <v>2259</v>
      </c>
      <c r="B862" t="s">
        <v>2260</v>
      </c>
      <c r="C862" t="s">
        <v>787</v>
      </c>
      <c r="D862" t="s">
        <v>932</v>
      </c>
      <c r="E862">
        <v>400</v>
      </c>
      <c r="F862" t="s">
        <v>942</v>
      </c>
      <c r="G862">
        <v>2026</v>
      </c>
      <c r="H862" t="s">
        <v>787</v>
      </c>
      <c r="I862" t="s">
        <v>1015</v>
      </c>
      <c r="J862" t="s">
        <v>1016</v>
      </c>
      <c r="K862" t="s">
        <v>787</v>
      </c>
      <c r="L862" t="s">
        <v>1017</v>
      </c>
      <c r="M862" t="s">
        <v>920</v>
      </c>
      <c r="N862" t="s">
        <v>1026</v>
      </c>
      <c r="O862" t="s">
        <v>1027</v>
      </c>
    </row>
    <row r="863" spans="1:15" x14ac:dyDescent="0.35">
      <c r="A863" t="s">
        <v>2261</v>
      </c>
      <c r="B863" t="s">
        <v>2262</v>
      </c>
      <c r="C863" t="s">
        <v>787</v>
      </c>
      <c r="D863" t="s">
        <v>932</v>
      </c>
      <c r="E863">
        <v>400</v>
      </c>
      <c r="F863" t="s">
        <v>1006</v>
      </c>
      <c r="G863">
        <v>2026</v>
      </c>
      <c r="H863" t="s">
        <v>787</v>
      </c>
      <c r="I863" t="s">
        <v>1015</v>
      </c>
      <c r="J863" t="s">
        <v>1016</v>
      </c>
      <c r="K863" t="s">
        <v>787</v>
      </c>
      <c r="L863" t="s">
        <v>1017</v>
      </c>
      <c r="M863" t="s">
        <v>920</v>
      </c>
      <c r="N863" t="s">
        <v>1030</v>
      </c>
      <c r="O863" t="s">
        <v>1031</v>
      </c>
    </row>
    <row r="864" spans="1:15" x14ac:dyDescent="0.35">
      <c r="A864" t="s">
        <v>2263</v>
      </c>
      <c r="B864" t="s">
        <v>2264</v>
      </c>
      <c r="C864" t="s">
        <v>787</v>
      </c>
      <c r="D864" t="s">
        <v>932</v>
      </c>
      <c r="E864">
        <v>400</v>
      </c>
      <c r="F864" t="s">
        <v>933</v>
      </c>
      <c r="G864">
        <v>2026</v>
      </c>
      <c r="H864" t="s">
        <v>787</v>
      </c>
      <c r="I864" t="s">
        <v>1015</v>
      </c>
      <c r="J864" t="s">
        <v>1016</v>
      </c>
      <c r="K864" t="s">
        <v>787</v>
      </c>
      <c r="L864" t="s">
        <v>1017</v>
      </c>
      <c r="M864" t="s">
        <v>920</v>
      </c>
      <c r="N864" t="s">
        <v>1018</v>
      </c>
      <c r="O864" t="s">
        <v>1019</v>
      </c>
    </row>
    <row r="865" spans="1:15" x14ac:dyDescent="0.35">
      <c r="A865" t="s">
        <v>2375</v>
      </c>
      <c r="B865" t="s">
        <v>2376</v>
      </c>
      <c r="C865" t="s">
        <v>787</v>
      </c>
      <c r="D865" t="s">
        <v>932</v>
      </c>
      <c r="E865">
        <v>400</v>
      </c>
      <c r="F865" t="s">
        <v>958</v>
      </c>
      <c r="G865">
        <v>2026</v>
      </c>
      <c r="H865" t="s">
        <v>787</v>
      </c>
      <c r="I865" t="s">
        <v>1015</v>
      </c>
      <c r="J865" t="s">
        <v>1016</v>
      </c>
      <c r="K865" t="s">
        <v>787</v>
      </c>
      <c r="L865" t="s">
        <v>1017</v>
      </c>
      <c r="M865" t="s">
        <v>952</v>
      </c>
      <c r="N865" t="s">
        <v>1022</v>
      </c>
      <c r="O865" t="s">
        <v>1023</v>
      </c>
    </row>
    <row r="866" spans="1:15" x14ac:dyDescent="0.35">
      <c r="A866" t="s">
        <v>2377</v>
      </c>
      <c r="B866" t="s">
        <v>2378</v>
      </c>
      <c r="C866" t="s">
        <v>787</v>
      </c>
      <c r="D866" t="s">
        <v>932</v>
      </c>
      <c r="E866">
        <v>400</v>
      </c>
      <c r="F866" t="s">
        <v>942</v>
      </c>
      <c r="G866">
        <v>2026</v>
      </c>
      <c r="H866" t="s">
        <v>787</v>
      </c>
      <c r="I866" t="s">
        <v>1015</v>
      </c>
      <c r="J866" t="s">
        <v>1016</v>
      </c>
      <c r="K866" t="s">
        <v>787</v>
      </c>
      <c r="L866" t="s">
        <v>1017</v>
      </c>
      <c r="M866" t="s">
        <v>952</v>
      </c>
      <c r="N866" t="s">
        <v>1026</v>
      </c>
      <c r="O866" t="s">
        <v>1027</v>
      </c>
    </row>
    <row r="867" spans="1:15" x14ac:dyDescent="0.35">
      <c r="A867" t="s">
        <v>2379</v>
      </c>
      <c r="B867" t="s">
        <v>2380</v>
      </c>
      <c r="C867" t="s">
        <v>787</v>
      </c>
      <c r="D867" t="s">
        <v>932</v>
      </c>
      <c r="E867">
        <v>400</v>
      </c>
      <c r="F867" t="s">
        <v>1006</v>
      </c>
      <c r="G867">
        <v>2026</v>
      </c>
      <c r="H867" t="s">
        <v>787</v>
      </c>
      <c r="I867" t="s">
        <v>1015</v>
      </c>
      <c r="J867" t="s">
        <v>1016</v>
      </c>
      <c r="K867" t="s">
        <v>787</v>
      </c>
      <c r="L867" t="s">
        <v>1017</v>
      </c>
      <c r="M867" t="s">
        <v>952</v>
      </c>
      <c r="N867" t="s">
        <v>1030</v>
      </c>
      <c r="O867" t="s">
        <v>1031</v>
      </c>
    </row>
    <row r="868" spans="1:15" x14ac:dyDescent="0.35">
      <c r="A868" t="s">
        <v>2381</v>
      </c>
      <c r="B868" t="s">
        <v>2382</v>
      </c>
      <c r="C868" t="s">
        <v>787</v>
      </c>
      <c r="D868" t="s">
        <v>932</v>
      </c>
      <c r="E868">
        <v>400</v>
      </c>
      <c r="F868" t="s">
        <v>933</v>
      </c>
      <c r="G868">
        <v>2026</v>
      </c>
      <c r="H868" t="s">
        <v>787</v>
      </c>
      <c r="I868" t="s">
        <v>1015</v>
      </c>
      <c r="J868" t="s">
        <v>1016</v>
      </c>
      <c r="K868" t="s">
        <v>787</v>
      </c>
      <c r="L868" t="s">
        <v>1017</v>
      </c>
      <c r="M868" t="s">
        <v>952</v>
      </c>
      <c r="N868" t="s">
        <v>1018</v>
      </c>
      <c r="O868" t="s">
        <v>1019</v>
      </c>
    </row>
    <row r="869" spans="1:15" x14ac:dyDescent="0.35">
      <c r="A869" t="s">
        <v>684</v>
      </c>
      <c r="B869" t="s">
        <v>2376</v>
      </c>
      <c r="C869" t="s">
        <v>787</v>
      </c>
      <c r="D869" t="s">
        <v>932</v>
      </c>
      <c r="E869">
        <v>400</v>
      </c>
      <c r="F869" t="s">
        <v>958</v>
      </c>
      <c r="G869">
        <v>2026</v>
      </c>
      <c r="H869" t="s">
        <v>787</v>
      </c>
      <c r="I869" t="s">
        <v>1015</v>
      </c>
      <c r="J869" t="s">
        <v>1016</v>
      </c>
      <c r="K869" t="s">
        <v>787</v>
      </c>
      <c r="L869" t="s">
        <v>1017</v>
      </c>
      <c r="M869" t="s">
        <v>918</v>
      </c>
      <c r="N869" t="s">
        <v>1022</v>
      </c>
      <c r="O869" t="s">
        <v>1023</v>
      </c>
    </row>
    <row r="870" spans="1:15" x14ac:dyDescent="0.35">
      <c r="A870" t="s">
        <v>2416</v>
      </c>
      <c r="B870" t="s">
        <v>2378</v>
      </c>
      <c r="C870" t="s">
        <v>787</v>
      </c>
      <c r="D870" t="s">
        <v>932</v>
      </c>
      <c r="E870">
        <v>400</v>
      </c>
      <c r="F870" t="s">
        <v>942</v>
      </c>
      <c r="G870">
        <v>2026</v>
      </c>
      <c r="H870" t="s">
        <v>787</v>
      </c>
      <c r="I870" t="s">
        <v>1015</v>
      </c>
      <c r="J870" t="s">
        <v>1016</v>
      </c>
      <c r="K870" t="s">
        <v>787</v>
      </c>
      <c r="L870" t="s">
        <v>1017</v>
      </c>
      <c r="M870" t="s">
        <v>918</v>
      </c>
      <c r="N870" t="s">
        <v>1026</v>
      </c>
      <c r="O870" t="s">
        <v>1027</v>
      </c>
    </row>
    <row r="871" spans="1:15" x14ac:dyDescent="0.35">
      <c r="A871" t="s">
        <v>2417</v>
      </c>
      <c r="B871" t="s">
        <v>2380</v>
      </c>
      <c r="C871" t="s">
        <v>787</v>
      </c>
      <c r="D871" t="s">
        <v>932</v>
      </c>
      <c r="E871">
        <v>400</v>
      </c>
      <c r="F871" t="s">
        <v>1006</v>
      </c>
      <c r="G871">
        <v>2026</v>
      </c>
      <c r="H871" t="s">
        <v>787</v>
      </c>
      <c r="I871" t="s">
        <v>1015</v>
      </c>
      <c r="J871" t="s">
        <v>1016</v>
      </c>
      <c r="K871" t="s">
        <v>787</v>
      </c>
      <c r="L871" t="s">
        <v>1017</v>
      </c>
      <c r="M871" t="s">
        <v>918</v>
      </c>
      <c r="N871" t="s">
        <v>1030</v>
      </c>
      <c r="O871" t="s">
        <v>1031</v>
      </c>
    </row>
    <row r="872" spans="1:15" x14ac:dyDescent="0.35">
      <c r="A872" t="s">
        <v>812</v>
      </c>
      <c r="B872" t="s">
        <v>2382</v>
      </c>
      <c r="C872" t="s">
        <v>787</v>
      </c>
      <c r="D872" t="s">
        <v>932</v>
      </c>
      <c r="E872">
        <v>400</v>
      </c>
      <c r="F872" t="s">
        <v>933</v>
      </c>
      <c r="G872">
        <v>2026</v>
      </c>
      <c r="H872" t="s">
        <v>787</v>
      </c>
      <c r="I872" t="s">
        <v>1015</v>
      </c>
      <c r="J872" t="s">
        <v>1016</v>
      </c>
      <c r="K872" t="s">
        <v>787</v>
      </c>
      <c r="L872" t="s">
        <v>1017</v>
      </c>
      <c r="M872" t="s">
        <v>918</v>
      </c>
      <c r="N872" t="s">
        <v>1018</v>
      </c>
      <c r="O872" t="s">
        <v>1019</v>
      </c>
    </row>
    <row r="873" spans="1:15" x14ac:dyDescent="0.35">
      <c r="A873" t="s">
        <v>2454</v>
      </c>
      <c r="B873" t="s">
        <v>2376</v>
      </c>
      <c r="C873" t="s">
        <v>787</v>
      </c>
      <c r="D873" t="s">
        <v>932</v>
      </c>
      <c r="E873">
        <v>400</v>
      </c>
      <c r="F873" t="s">
        <v>958</v>
      </c>
      <c r="G873">
        <v>2026</v>
      </c>
      <c r="H873" t="s">
        <v>787</v>
      </c>
      <c r="I873" t="s">
        <v>1015</v>
      </c>
      <c r="J873" t="s">
        <v>1016</v>
      </c>
      <c r="K873" t="s">
        <v>787</v>
      </c>
      <c r="L873" t="s">
        <v>1017</v>
      </c>
      <c r="M873" t="s">
        <v>969</v>
      </c>
      <c r="N873" t="s">
        <v>1022</v>
      </c>
      <c r="O873" t="s">
        <v>1023</v>
      </c>
    </row>
    <row r="874" spans="1:15" x14ac:dyDescent="0.35">
      <c r="A874" t="s">
        <v>2455</v>
      </c>
      <c r="B874" t="s">
        <v>2378</v>
      </c>
      <c r="C874" t="s">
        <v>787</v>
      </c>
      <c r="D874" t="s">
        <v>932</v>
      </c>
      <c r="E874">
        <v>400</v>
      </c>
      <c r="F874" t="s">
        <v>942</v>
      </c>
      <c r="G874">
        <v>2026</v>
      </c>
      <c r="H874" t="s">
        <v>787</v>
      </c>
      <c r="I874" t="s">
        <v>1015</v>
      </c>
      <c r="J874" t="s">
        <v>1016</v>
      </c>
      <c r="K874" t="s">
        <v>787</v>
      </c>
      <c r="L874" t="s">
        <v>1017</v>
      </c>
      <c r="M874" t="s">
        <v>969</v>
      </c>
      <c r="N874" t="s">
        <v>1026</v>
      </c>
      <c r="O874" t="s">
        <v>1027</v>
      </c>
    </row>
    <row r="875" spans="1:15" x14ac:dyDescent="0.35">
      <c r="A875" t="s">
        <v>2456</v>
      </c>
      <c r="B875" t="s">
        <v>2380</v>
      </c>
      <c r="C875" t="s">
        <v>787</v>
      </c>
      <c r="D875" t="s">
        <v>932</v>
      </c>
      <c r="E875">
        <v>400</v>
      </c>
      <c r="F875" t="s">
        <v>1006</v>
      </c>
      <c r="G875">
        <v>2026</v>
      </c>
      <c r="H875" t="s">
        <v>787</v>
      </c>
      <c r="I875" t="s">
        <v>1015</v>
      </c>
      <c r="J875" t="s">
        <v>1016</v>
      </c>
      <c r="K875" t="s">
        <v>787</v>
      </c>
      <c r="L875" t="s">
        <v>1017</v>
      </c>
      <c r="M875" t="s">
        <v>969</v>
      </c>
      <c r="N875" t="s">
        <v>1030</v>
      </c>
      <c r="O875" t="s">
        <v>1031</v>
      </c>
    </row>
    <row r="876" spans="1:15" x14ac:dyDescent="0.35">
      <c r="A876" t="s">
        <v>2457</v>
      </c>
      <c r="B876" t="s">
        <v>2382</v>
      </c>
      <c r="C876" t="s">
        <v>787</v>
      </c>
      <c r="D876" t="s">
        <v>932</v>
      </c>
      <c r="E876">
        <v>400</v>
      </c>
      <c r="F876" t="s">
        <v>933</v>
      </c>
      <c r="G876">
        <v>2026</v>
      </c>
      <c r="H876" t="s">
        <v>787</v>
      </c>
      <c r="I876" t="s">
        <v>1015</v>
      </c>
      <c r="J876" t="s">
        <v>1016</v>
      </c>
      <c r="K876" t="s">
        <v>787</v>
      </c>
      <c r="L876" t="s">
        <v>1017</v>
      </c>
      <c r="M876" t="s">
        <v>969</v>
      </c>
      <c r="N876" t="s">
        <v>1018</v>
      </c>
      <c r="O876" t="s">
        <v>1019</v>
      </c>
    </row>
    <row r="877" spans="1:15" x14ac:dyDescent="0.35">
      <c r="A877" t="s">
        <v>929</v>
      </c>
      <c r="B877" t="s">
        <v>930</v>
      </c>
      <c r="C877" t="s">
        <v>931</v>
      </c>
      <c r="D877" t="s">
        <v>932</v>
      </c>
      <c r="E877">
        <v>200</v>
      </c>
      <c r="F877" t="s">
        <v>933</v>
      </c>
      <c r="G877">
        <v>2024</v>
      </c>
      <c r="H877" t="s">
        <v>931</v>
      </c>
      <c r="I877" t="s">
        <v>934</v>
      </c>
      <c r="J877" t="s">
        <v>935</v>
      </c>
      <c r="K877" t="s">
        <v>931</v>
      </c>
      <c r="L877" t="s">
        <v>931</v>
      </c>
      <c r="M877" t="s">
        <v>920</v>
      </c>
      <c r="N877" t="s">
        <v>936</v>
      </c>
      <c r="O877" t="s">
        <v>922</v>
      </c>
    </row>
    <row r="878" spans="1:15" x14ac:dyDescent="0.35">
      <c r="A878" t="s">
        <v>937</v>
      </c>
      <c r="B878" t="s">
        <v>938</v>
      </c>
      <c r="C878" t="s">
        <v>931</v>
      </c>
      <c r="D878" t="s">
        <v>932</v>
      </c>
      <c r="E878">
        <v>200</v>
      </c>
      <c r="F878" t="s">
        <v>933</v>
      </c>
      <c r="G878">
        <v>2025</v>
      </c>
      <c r="H878" t="s">
        <v>931</v>
      </c>
      <c r="I878" t="s">
        <v>934</v>
      </c>
      <c r="J878" t="s">
        <v>935</v>
      </c>
      <c r="K878" t="s">
        <v>931</v>
      </c>
      <c r="L878" t="s">
        <v>931</v>
      </c>
      <c r="M878" t="s">
        <v>920</v>
      </c>
      <c r="N878" t="s">
        <v>936</v>
      </c>
      <c r="O878" t="s">
        <v>939</v>
      </c>
    </row>
    <row r="879" spans="1:15" x14ac:dyDescent="0.35">
      <c r="A879" t="s">
        <v>940</v>
      </c>
      <c r="B879" t="s">
        <v>941</v>
      </c>
      <c r="C879" t="s">
        <v>931</v>
      </c>
      <c r="D879" t="s">
        <v>932</v>
      </c>
      <c r="E879">
        <v>200</v>
      </c>
      <c r="F879" t="s">
        <v>942</v>
      </c>
      <c r="G879">
        <v>2023</v>
      </c>
      <c r="H879" t="s">
        <v>931</v>
      </c>
      <c r="I879" t="s">
        <v>934</v>
      </c>
      <c r="J879" t="s">
        <v>935</v>
      </c>
      <c r="K879" t="s">
        <v>931</v>
      </c>
      <c r="L879" t="s">
        <v>931</v>
      </c>
      <c r="M879" t="s">
        <v>920</v>
      </c>
      <c r="N879" t="s">
        <v>943</v>
      </c>
      <c r="O879" t="s">
        <v>922</v>
      </c>
    </row>
    <row r="880" spans="1:15" x14ac:dyDescent="0.35">
      <c r="A880" t="s">
        <v>944</v>
      </c>
      <c r="B880" t="s">
        <v>945</v>
      </c>
      <c r="C880" t="s">
        <v>931</v>
      </c>
      <c r="D880" t="s">
        <v>932</v>
      </c>
      <c r="E880">
        <v>200</v>
      </c>
      <c r="F880" t="s">
        <v>942</v>
      </c>
      <c r="G880">
        <v>2024</v>
      </c>
      <c r="H880" t="s">
        <v>931</v>
      </c>
      <c r="I880" t="s">
        <v>934</v>
      </c>
      <c r="J880" t="s">
        <v>935</v>
      </c>
      <c r="K880" t="s">
        <v>931</v>
      </c>
      <c r="L880" t="s">
        <v>931</v>
      </c>
      <c r="M880" t="s">
        <v>920</v>
      </c>
      <c r="N880" t="s">
        <v>943</v>
      </c>
      <c r="O880" t="s">
        <v>922</v>
      </c>
    </row>
    <row r="881" spans="1:15" x14ac:dyDescent="0.35">
      <c r="A881" t="s">
        <v>946</v>
      </c>
      <c r="B881" t="s">
        <v>947</v>
      </c>
      <c r="C881" t="s">
        <v>931</v>
      </c>
      <c r="D881" t="s">
        <v>932</v>
      </c>
      <c r="E881">
        <v>200</v>
      </c>
      <c r="F881" t="s">
        <v>942</v>
      </c>
      <c r="G881">
        <v>2025</v>
      </c>
      <c r="H881" t="s">
        <v>931</v>
      </c>
      <c r="I881" t="s">
        <v>934</v>
      </c>
      <c r="J881" t="s">
        <v>935</v>
      </c>
      <c r="K881" t="s">
        <v>931</v>
      </c>
      <c r="L881" t="s">
        <v>931</v>
      </c>
      <c r="M881" t="s">
        <v>920</v>
      </c>
      <c r="N881" t="s">
        <v>943</v>
      </c>
      <c r="O881" t="s">
        <v>948</v>
      </c>
    </row>
    <row r="882" spans="1:15" x14ac:dyDescent="0.35">
      <c r="A882" t="s">
        <v>949</v>
      </c>
      <c r="B882" t="s">
        <v>950</v>
      </c>
      <c r="C882" t="s">
        <v>931</v>
      </c>
      <c r="D882" t="s">
        <v>932</v>
      </c>
      <c r="E882">
        <v>200</v>
      </c>
      <c r="F882" t="s">
        <v>951</v>
      </c>
      <c r="G882">
        <v>2020</v>
      </c>
      <c r="H882" t="s">
        <v>931</v>
      </c>
      <c r="I882" t="s">
        <v>934</v>
      </c>
      <c r="J882" t="s">
        <v>935</v>
      </c>
      <c r="K882" t="s">
        <v>931</v>
      </c>
      <c r="L882" t="s">
        <v>931</v>
      </c>
      <c r="M882" t="s">
        <v>952</v>
      </c>
      <c r="N882" t="s">
        <v>953</v>
      </c>
      <c r="O882" t="s">
        <v>922</v>
      </c>
    </row>
    <row r="883" spans="1:15" x14ac:dyDescent="0.35">
      <c r="A883" t="s">
        <v>852</v>
      </c>
      <c r="B883" t="s">
        <v>954</v>
      </c>
      <c r="C883" t="s">
        <v>931</v>
      </c>
      <c r="D883" t="s">
        <v>932</v>
      </c>
      <c r="E883">
        <v>200</v>
      </c>
      <c r="F883" t="s">
        <v>917</v>
      </c>
      <c r="G883">
        <v>2022</v>
      </c>
      <c r="H883" t="s">
        <v>931</v>
      </c>
      <c r="I883" t="s">
        <v>934</v>
      </c>
      <c r="J883" t="s">
        <v>935</v>
      </c>
      <c r="K883" t="s">
        <v>931</v>
      </c>
      <c r="L883" t="s">
        <v>931</v>
      </c>
      <c r="M883" t="s">
        <v>918</v>
      </c>
      <c r="N883" t="s">
        <v>955</v>
      </c>
      <c r="O883" t="s">
        <v>922</v>
      </c>
    </row>
    <row r="884" spans="1:15" x14ac:dyDescent="0.35">
      <c r="A884" t="s">
        <v>956</v>
      </c>
      <c r="B884" t="s">
        <v>957</v>
      </c>
      <c r="C884" t="s">
        <v>931</v>
      </c>
      <c r="D884" t="s">
        <v>932</v>
      </c>
      <c r="E884">
        <v>200</v>
      </c>
      <c r="F884" t="s">
        <v>958</v>
      </c>
      <c r="G884">
        <v>2022</v>
      </c>
      <c r="H884" t="s">
        <v>931</v>
      </c>
      <c r="I884" t="s">
        <v>934</v>
      </c>
      <c r="J884" t="s">
        <v>935</v>
      </c>
      <c r="K884" t="s">
        <v>931</v>
      </c>
      <c r="L884" t="s">
        <v>931</v>
      </c>
      <c r="M884" t="s">
        <v>952</v>
      </c>
      <c r="N884" t="s">
        <v>959</v>
      </c>
      <c r="O884" t="s">
        <v>922</v>
      </c>
    </row>
    <row r="885" spans="1:15" x14ac:dyDescent="0.35">
      <c r="A885" t="s">
        <v>377</v>
      </c>
      <c r="B885" t="s">
        <v>4</v>
      </c>
      <c r="C885" t="s">
        <v>931</v>
      </c>
      <c r="D885" t="s">
        <v>932</v>
      </c>
      <c r="E885">
        <v>200</v>
      </c>
      <c r="F885" t="s">
        <v>958</v>
      </c>
      <c r="G885">
        <v>2022</v>
      </c>
      <c r="H885" t="s">
        <v>931</v>
      </c>
      <c r="I885" t="s">
        <v>934</v>
      </c>
      <c r="J885" t="s">
        <v>935</v>
      </c>
      <c r="K885" t="s">
        <v>931</v>
      </c>
      <c r="L885" t="s">
        <v>931</v>
      </c>
      <c r="M885" t="s">
        <v>918</v>
      </c>
      <c r="N885" t="s">
        <v>959</v>
      </c>
      <c r="O885" t="s">
        <v>922</v>
      </c>
    </row>
    <row r="886" spans="1:15" x14ac:dyDescent="0.35">
      <c r="A886" t="s">
        <v>372</v>
      </c>
      <c r="B886" t="s">
        <v>960</v>
      </c>
      <c r="C886" t="s">
        <v>931</v>
      </c>
      <c r="D886" t="s">
        <v>932</v>
      </c>
      <c r="E886">
        <v>200</v>
      </c>
      <c r="F886" t="s">
        <v>958</v>
      </c>
      <c r="G886">
        <v>2023</v>
      </c>
      <c r="H886" t="s">
        <v>931</v>
      </c>
      <c r="I886" t="s">
        <v>934</v>
      </c>
      <c r="J886" t="s">
        <v>935</v>
      </c>
      <c r="K886" t="s">
        <v>931</v>
      </c>
      <c r="L886" t="s">
        <v>931</v>
      </c>
      <c r="M886" t="s">
        <v>918</v>
      </c>
      <c r="N886" t="s">
        <v>959</v>
      </c>
      <c r="O886" t="s">
        <v>922</v>
      </c>
    </row>
    <row r="887" spans="1:15" x14ac:dyDescent="0.35">
      <c r="A887" t="s">
        <v>961</v>
      </c>
      <c r="B887" t="s">
        <v>962</v>
      </c>
      <c r="C887" t="s">
        <v>931</v>
      </c>
      <c r="D887" t="s">
        <v>932</v>
      </c>
      <c r="E887">
        <v>200</v>
      </c>
      <c r="F887" t="s">
        <v>933</v>
      </c>
      <c r="G887">
        <v>2021</v>
      </c>
      <c r="H887" t="s">
        <v>931</v>
      </c>
      <c r="I887" t="s">
        <v>934</v>
      </c>
      <c r="J887" t="s">
        <v>935</v>
      </c>
      <c r="K887" t="s">
        <v>931</v>
      </c>
      <c r="L887" t="s">
        <v>931</v>
      </c>
      <c r="M887" t="s">
        <v>952</v>
      </c>
      <c r="N887" t="s">
        <v>936</v>
      </c>
      <c r="O887" t="s">
        <v>922</v>
      </c>
    </row>
    <row r="888" spans="1:15" x14ac:dyDescent="0.35">
      <c r="A888" t="s">
        <v>383</v>
      </c>
      <c r="B888" t="s">
        <v>5</v>
      </c>
      <c r="C888" t="s">
        <v>931</v>
      </c>
      <c r="D888" t="s">
        <v>932</v>
      </c>
      <c r="E888">
        <v>200</v>
      </c>
      <c r="F888" t="s">
        <v>933</v>
      </c>
      <c r="G888">
        <v>2021</v>
      </c>
      <c r="H888" t="s">
        <v>931</v>
      </c>
      <c r="I888" t="s">
        <v>934</v>
      </c>
      <c r="J888" t="s">
        <v>935</v>
      </c>
      <c r="K888" t="s">
        <v>931</v>
      </c>
      <c r="L888" t="s">
        <v>931</v>
      </c>
      <c r="M888" t="s">
        <v>918</v>
      </c>
      <c r="N888" t="s">
        <v>936</v>
      </c>
      <c r="O888" t="s">
        <v>922</v>
      </c>
    </row>
    <row r="889" spans="1:15" x14ac:dyDescent="0.35">
      <c r="A889" t="s">
        <v>963</v>
      </c>
      <c r="B889" t="s">
        <v>964</v>
      </c>
      <c r="C889" t="s">
        <v>931</v>
      </c>
      <c r="D889" t="s">
        <v>932</v>
      </c>
      <c r="E889">
        <v>200</v>
      </c>
      <c r="F889" t="s">
        <v>933</v>
      </c>
      <c r="G889">
        <v>2022</v>
      </c>
      <c r="H889" t="s">
        <v>931</v>
      </c>
      <c r="I889" t="s">
        <v>934</v>
      </c>
      <c r="J889" t="s">
        <v>935</v>
      </c>
      <c r="K889" t="s">
        <v>931</v>
      </c>
      <c r="L889" t="s">
        <v>931</v>
      </c>
      <c r="M889" t="s">
        <v>952</v>
      </c>
      <c r="N889" t="s">
        <v>936</v>
      </c>
      <c r="O889" t="s">
        <v>922</v>
      </c>
    </row>
    <row r="890" spans="1:15" x14ac:dyDescent="0.35">
      <c r="A890" t="s">
        <v>384</v>
      </c>
      <c r="B890" t="s">
        <v>6</v>
      </c>
      <c r="C890" t="s">
        <v>931</v>
      </c>
      <c r="D890" t="s">
        <v>932</v>
      </c>
      <c r="E890">
        <v>200</v>
      </c>
      <c r="F890" t="s">
        <v>933</v>
      </c>
      <c r="G890">
        <v>2022</v>
      </c>
      <c r="H890" t="s">
        <v>931</v>
      </c>
      <c r="I890" t="s">
        <v>934</v>
      </c>
      <c r="J890" t="s">
        <v>935</v>
      </c>
      <c r="K890" t="s">
        <v>931</v>
      </c>
      <c r="L890" t="s">
        <v>931</v>
      </c>
      <c r="M890" t="s">
        <v>918</v>
      </c>
      <c r="N890" t="s">
        <v>936</v>
      </c>
      <c r="O890" t="s">
        <v>922</v>
      </c>
    </row>
    <row r="891" spans="1:15" x14ac:dyDescent="0.35">
      <c r="A891" t="s">
        <v>965</v>
      </c>
      <c r="B891" t="s">
        <v>966</v>
      </c>
      <c r="C891" t="s">
        <v>931</v>
      </c>
      <c r="D891" t="s">
        <v>932</v>
      </c>
      <c r="E891">
        <v>200</v>
      </c>
      <c r="F891" t="s">
        <v>933</v>
      </c>
      <c r="G891">
        <v>2023</v>
      </c>
      <c r="H891" t="s">
        <v>931</v>
      </c>
      <c r="I891" t="s">
        <v>934</v>
      </c>
      <c r="J891" t="s">
        <v>935</v>
      </c>
      <c r="K891" t="s">
        <v>931</v>
      </c>
      <c r="L891" t="s">
        <v>931</v>
      </c>
      <c r="M891" t="s">
        <v>952</v>
      </c>
      <c r="N891" t="s">
        <v>936</v>
      </c>
      <c r="O891" t="s">
        <v>922</v>
      </c>
    </row>
    <row r="892" spans="1:15" x14ac:dyDescent="0.35">
      <c r="A892" t="s">
        <v>967</v>
      </c>
      <c r="B892" t="s">
        <v>968</v>
      </c>
      <c r="C892" t="s">
        <v>931</v>
      </c>
      <c r="D892" t="s">
        <v>932</v>
      </c>
      <c r="E892">
        <v>200</v>
      </c>
      <c r="F892" t="s">
        <v>933</v>
      </c>
      <c r="G892">
        <v>2023</v>
      </c>
      <c r="H892" t="s">
        <v>931</v>
      </c>
      <c r="I892" t="s">
        <v>934</v>
      </c>
      <c r="J892" t="s">
        <v>935</v>
      </c>
      <c r="K892" t="s">
        <v>931</v>
      </c>
      <c r="L892" t="s">
        <v>931</v>
      </c>
      <c r="M892" t="s">
        <v>969</v>
      </c>
      <c r="N892" t="s">
        <v>936</v>
      </c>
      <c r="O892" t="s">
        <v>922</v>
      </c>
    </row>
    <row r="893" spans="1:15" x14ac:dyDescent="0.35">
      <c r="A893" t="s">
        <v>341</v>
      </c>
      <c r="B893" t="s">
        <v>7</v>
      </c>
      <c r="C893" t="s">
        <v>931</v>
      </c>
      <c r="D893" t="s">
        <v>932</v>
      </c>
      <c r="E893">
        <v>200</v>
      </c>
      <c r="F893" t="s">
        <v>933</v>
      </c>
      <c r="G893">
        <v>2023</v>
      </c>
      <c r="H893" t="s">
        <v>931</v>
      </c>
      <c r="I893" t="s">
        <v>934</v>
      </c>
      <c r="J893" t="s">
        <v>935</v>
      </c>
      <c r="K893" t="s">
        <v>931</v>
      </c>
      <c r="L893" t="s">
        <v>931</v>
      </c>
      <c r="M893" t="s">
        <v>918</v>
      </c>
      <c r="N893" t="s">
        <v>936</v>
      </c>
      <c r="O893" t="s">
        <v>922</v>
      </c>
    </row>
    <row r="894" spans="1:15" x14ac:dyDescent="0.35">
      <c r="A894" t="s">
        <v>970</v>
      </c>
      <c r="B894" t="s">
        <v>971</v>
      </c>
      <c r="C894" t="s">
        <v>931</v>
      </c>
      <c r="D894" t="s">
        <v>932</v>
      </c>
      <c r="E894">
        <v>200</v>
      </c>
      <c r="F894" t="s">
        <v>933</v>
      </c>
      <c r="G894">
        <v>2024</v>
      </c>
      <c r="H894" t="s">
        <v>931</v>
      </c>
      <c r="I894" t="s">
        <v>934</v>
      </c>
      <c r="J894" t="s">
        <v>935</v>
      </c>
      <c r="K894" t="s">
        <v>931</v>
      </c>
      <c r="L894" t="s">
        <v>931</v>
      </c>
      <c r="M894" t="s">
        <v>952</v>
      </c>
      <c r="N894" t="s">
        <v>936</v>
      </c>
      <c r="O894" t="s">
        <v>922</v>
      </c>
    </row>
    <row r="895" spans="1:15" x14ac:dyDescent="0.35">
      <c r="A895" t="s">
        <v>972</v>
      </c>
      <c r="B895" t="s">
        <v>973</v>
      </c>
      <c r="C895" t="s">
        <v>931</v>
      </c>
      <c r="D895" t="s">
        <v>932</v>
      </c>
      <c r="E895">
        <v>200</v>
      </c>
      <c r="F895" t="s">
        <v>933</v>
      </c>
      <c r="G895">
        <v>2024</v>
      </c>
      <c r="H895" t="s">
        <v>931</v>
      </c>
      <c r="I895" t="s">
        <v>934</v>
      </c>
      <c r="J895" t="s">
        <v>935</v>
      </c>
      <c r="K895" t="s">
        <v>931</v>
      </c>
      <c r="L895" t="s">
        <v>931</v>
      </c>
      <c r="M895" t="s">
        <v>969</v>
      </c>
      <c r="N895" t="s">
        <v>936</v>
      </c>
      <c r="O895" t="s">
        <v>922</v>
      </c>
    </row>
    <row r="896" spans="1:15" x14ac:dyDescent="0.35">
      <c r="A896" t="s">
        <v>301</v>
      </c>
      <c r="B896" t="s">
        <v>8</v>
      </c>
      <c r="C896" t="s">
        <v>931</v>
      </c>
      <c r="D896" t="s">
        <v>932</v>
      </c>
      <c r="E896">
        <v>200</v>
      </c>
      <c r="F896" t="s">
        <v>933</v>
      </c>
      <c r="G896">
        <v>2024</v>
      </c>
      <c r="H896" t="s">
        <v>931</v>
      </c>
      <c r="I896" t="s">
        <v>934</v>
      </c>
      <c r="J896" t="s">
        <v>935</v>
      </c>
      <c r="K896" t="s">
        <v>931</v>
      </c>
      <c r="L896" t="s">
        <v>931</v>
      </c>
      <c r="M896" t="s">
        <v>918</v>
      </c>
      <c r="N896" t="s">
        <v>936</v>
      </c>
      <c r="O896" t="s">
        <v>922</v>
      </c>
    </row>
    <row r="897" spans="1:15" x14ac:dyDescent="0.35">
      <c r="A897" t="s">
        <v>677</v>
      </c>
      <c r="B897" t="s">
        <v>974</v>
      </c>
      <c r="C897" t="s">
        <v>931</v>
      </c>
      <c r="D897" t="s">
        <v>932</v>
      </c>
      <c r="E897">
        <v>200</v>
      </c>
      <c r="F897" t="s">
        <v>933</v>
      </c>
      <c r="G897">
        <v>2025</v>
      </c>
      <c r="H897" t="s">
        <v>931</v>
      </c>
      <c r="I897" t="s">
        <v>934</v>
      </c>
      <c r="J897" t="s">
        <v>935</v>
      </c>
      <c r="K897" t="s">
        <v>931</v>
      </c>
      <c r="L897" t="s">
        <v>931</v>
      </c>
      <c r="M897" t="s">
        <v>952</v>
      </c>
      <c r="N897" t="s">
        <v>936</v>
      </c>
      <c r="O897" t="s">
        <v>939</v>
      </c>
    </row>
    <row r="898" spans="1:15" x14ac:dyDescent="0.35">
      <c r="A898" t="s">
        <v>975</v>
      </c>
      <c r="B898" t="s">
        <v>976</v>
      </c>
      <c r="C898" t="s">
        <v>931</v>
      </c>
      <c r="D898" t="s">
        <v>932</v>
      </c>
      <c r="E898">
        <v>200</v>
      </c>
      <c r="F898" t="s">
        <v>933</v>
      </c>
      <c r="G898">
        <v>2025</v>
      </c>
      <c r="H898" t="s">
        <v>931</v>
      </c>
      <c r="I898" t="s">
        <v>934</v>
      </c>
      <c r="J898" t="s">
        <v>935</v>
      </c>
      <c r="K898" t="s">
        <v>931</v>
      </c>
      <c r="L898" t="s">
        <v>931</v>
      </c>
      <c r="M898" t="s">
        <v>969</v>
      </c>
      <c r="N898" t="s">
        <v>936</v>
      </c>
      <c r="O898" t="s">
        <v>939</v>
      </c>
    </row>
    <row r="899" spans="1:15" x14ac:dyDescent="0.35">
      <c r="A899" t="s">
        <v>284</v>
      </c>
      <c r="B899" t="s">
        <v>104</v>
      </c>
      <c r="C899" t="s">
        <v>931</v>
      </c>
      <c r="D899" t="s">
        <v>932</v>
      </c>
      <c r="E899">
        <v>200</v>
      </c>
      <c r="F899" t="s">
        <v>933</v>
      </c>
      <c r="G899">
        <v>2025</v>
      </c>
      <c r="H899" t="s">
        <v>931</v>
      </c>
      <c r="I899" t="s">
        <v>934</v>
      </c>
      <c r="J899" t="s">
        <v>935</v>
      </c>
      <c r="K899" t="s">
        <v>931</v>
      </c>
      <c r="L899" t="s">
        <v>931</v>
      </c>
      <c r="M899" t="s">
        <v>918</v>
      </c>
      <c r="N899" t="s">
        <v>936</v>
      </c>
      <c r="O899" t="s">
        <v>939</v>
      </c>
    </row>
    <row r="900" spans="1:15" x14ac:dyDescent="0.35">
      <c r="A900" t="s">
        <v>977</v>
      </c>
      <c r="B900" t="s">
        <v>978</v>
      </c>
      <c r="C900" t="s">
        <v>931</v>
      </c>
      <c r="D900" t="s">
        <v>932</v>
      </c>
      <c r="E900">
        <v>200</v>
      </c>
      <c r="F900" t="s">
        <v>958</v>
      </c>
      <c r="G900">
        <v>2020</v>
      </c>
      <c r="H900" t="s">
        <v>931</v>
      </c>
      <c r="I900" t="s">
        <v>934</v>
      </c>
      <c r="J900" t="s">
        <v>935</v>
      </c>
      <c r="K900" t="s">
        <v>931</v>
      </c>
      <c r="L900" t="s">
        <v>931</v>
      </c>
      <c r="M900" t="s">
        <v>952</v>
      </c>
      <c r="N900" t="s">
        <v>959</v>
      </c>
      <c r="O900" t="s">
        <v>922</v>
      </c>
    </row>
    <row r="901" spans="1:15" x14ac:dyDescent="0.35">
      <c r="A901" t="s">
        <v>979</v>
      </c>
      <c r="B901" t="s">
        <v>980</v>
      </c>
      <c r="C901" t="s">
        <v>931</v>
      </c>
      <c r="D901" t="s">
        <v>932</v>
      </c>
      <c r="E901">
        <v>200</v>
      </c>
      <c r="F901" t="s">
        <v>958</v>
      </c>
      <c r="G901">
        <v>2020</v>
      </c>
      <c r="H901" t="s">
        <v>931</v>
      </c>
      <c r="I901" t="s">
        <v>934</v>
      </c>
      <c r="J901" t="s">
        <v>935</v>
      </c>
      <c r="K901" t="s">
        <v>931</v>
      </c>
      <c r="L901" t="s">
        <v>931</v>
      </c>
      <c r="M901" t="s">
        <v>918</v>
      </c>
      <c r="N901" t="s">
        <v>959</v>
      </c>
      <c r="O901" t="s">
        <v>922</v>
      </c>
    </row>
    <row r="902" spans="1:15" x14ac:dyDescent="0.35">
      <c r="A902" t="s">
        <v>981</v>
      </c>
      <c r="B902" t="s">
        <v>982</v>
      </c>
      <c r="C902" t="s">
        <v>931</v>
      </c>
      <c r="D902" t="s">
        <v>932</v>
      </c>
      <c r="E902">
        <v>200</v>
      </c>
      <c r="F902" t="s">
        <v>958</v>
      </c>
      <c r="G902">
        <v>2021</v>
      </c>
      <c r="H902" t="s">
        <v>931</v>
      </c>
      <c r="I902" t="s">
        <v>934</v>
      </c>
      <c r="J902" t="s">
        <v>935</v>
      </c>
      <c r="K902" t="s">
        <v>931</v>
      </c>
      <c r="L902" t="s">
        <v>931</v>
      </c>
      <c r="M902" t="s">
        <v>952</v>
      </c>
      <c r="N902" t="s">
        <v>959</v>
      </c>
      <c r="O902" t="s">
        <v>922</v>
      </c>
    </row>
    <row r="903" spans="1:15" x14ac:dyDescent="0.35">
      <c r="A903" t="s">
        <v>983</v>
      </c>
      <c r="B903" t="s">
        <v>984</v>
      </c>
      <c r="C903" t="s">
        <v>931</v>
      </c>
      <c r="D903" t="s">
        <v>932</v>
      </c>
      <c r="E903">
        <v>200</v>
      </c>
      <c r="F903" t="s">
        <v>958</v>
      </c>
      <c r="G903">
        <v>2021</v>
      </c>
      <c r="H903" t="s">
        <v>931</v>
      </c>
      <c r="I903" t="s">
        <v>934</v>
      </c>
      <c r="J903" t="s">
        <v>935</v>
      </c>
      <c r="K903" t="s">
        <v>931</v>
      </c>
      <c r="L903" t="s">
        <v>931</v>
      </c>
      <c r="M903" t="s">
        <v>918</v>
      </c>
      <c r="N903" t="s">
        <v>959</v>
      </c>
      <c r="O903" t="s">
        <v>922</v>
      </c>
    </row>
    <row r="904" spans="1:15" x14ac:dyDescent="0.35">
      <c r="A904" t="s">
        <v>985</v>
      </c>
      <c r="B904" t="s">
        <v>986</v>
      </c>
      <c r="C904" t="s">
        <v>931</v>
      </c>
      <c r="D904" t="s">
        <v>932</v>
      </c>
      <c r="E904">
        <v>200</v>
      </c>
      <c r="F904" t="s">
        <v>958</v>
      </c>
      <c r="G904">
        <v>2022</v>
      </c>
      <c r="H904" t="s">
        <v>931</v>
      </c>
      <c r="I904" t="s">
        <v>934</v>
      </c>
      <c r="J904" t="s">
        <v>935</v>
      </c>
      <c r="K904" t="s">
        <v>931</v>
      </c>
      <c r="L904" t="s">
        <v>931</v>
      </c>
      <c r="M904" t="s">
        <v>952</v>
      </c>
      <c r="N904" t="s">
        <v>959</v>
      </c>
      <c r="O904" t="s">
        <v>922</v>
      </c>
    </row>
    <row r="905" spans="1:15" x14ac:dyDescent="0.35">
      <c r="A905" t="s">
        <v>385</v>
      </c>
      <c r="B905" t="s">
        <v>10</v>
      </c>
      <c r="C905" t="s">
        <v>931</v>
      </c>
      <c r="D905" t="s">
        <v>932</v>
      </c>
      <c r="E905">
        <v>200</v>
      </c>
      <c r="F905" t="s">
        <v>958</v>
      </c>
      <c r="G905">
        <v>2022</v>
      </c>
      <c r="H905" t="s">
        <v>931</v>
      </c>
      <c r="I905" t="s">
        <v>934</v>
      </c>
      <c r="J905" t="s">
        <v>935</v>
      </c>
      <c r="K905" t="s">
        <v>931</v>
      </c>
      <c r="L905" t="s">
        <v>931</v>
      </c>
      <c r="M905" t="s">
        <v>918</v>
      </c>
      <c r="N905" t="s">
        <v>959</v>
      </c>
      <c r="O905" t="s">
        <v>922</v>
      </c>
    </row>
    <row r="906" spans="1:15" x14ac:dyDescent="0.35">
      <c r="A906" t="s">
        <v>987</v>
      </c>
      <c r="B906" t="s">
        <v>988</v>
      </c>
      <c r="C906" t="s">
        <v>931</v>
      </c>
      <c r="D906" t="s">
        <v>932</v>
      </c>
      <c r="E906">
        <v>200</v>
      </c>
      <c r="F906" t="s">
        <v>942</v>
      </c>
      <c r="G906">
        <v>2021</v>
      </c>
      <c r="H906" t="s">
        <v>931</v>
      </c>
      <c r="I906" t="s">
        <v>934</v>
      </c>
      <c r="J906" t="s">
        <v>935</v>
      </c>
      <c r="K906" t="s">
        <v>931</v>
      </c>
      <c r="L906" t="s">
        <v>931</v>
      </c>
      <c r="M906" t="s">
        <v>952</v>
      </c>
      <c r="N906" t="s">
        <v>943</v>
      </c>
      <c r="O906" t="s">
        <v>922</v>
      </c>
    </row>
    <row r="907" spans="1:15" x14ac:dyDescent="0.35">
      <c r="A907" t="s">
        <v>989</v>
      </c>
      <c r="B907" t="s">
        <v>990</v>
      </c>
      <c r="C907" t="s">
        <v>931</v>
      </c>
      <c r="D907" t="s">
        <v>932</v>
      </c>
      <c r="E907">
        <v>200</v>
      </c>
      <c r="F907" t="s">
        <v>942</v>
      </c>
      <c r="G907">
        <v>2021</v>
      </c>
      <c r="H907" t="s">
        <v>931</v>
      </c>
      <c r="I907" t="s">
        <v>934</v>
      </c>
      <c r="J907" t="s">
        <v>935</v>
      </c>
      <c r="K907" t="s">
        <v>931</v>
      </c>
      <c r="L907" t="s">
        <v>931</v>
      </c>
      <c r="M907" t="s">
        <v>918</v>
      </c>
      <c r="N907" t="s">
        <v>943</v>
      </c>
      <c r="O907" t="s">
        <v>922</v>
      </c>
    </row>
    <row r="908" spans="1:15" x14ac:dyDescent="0.35">
      <c r="A908" t="s">
        <v>991</v>
      </c>
      <c r="B908" t="s">
        <v>992</v>
      </c>
      <c r="C908" t="s">
        <v>931</v>
      </c>
      <c r="D908" t="s">
        <v>932</v>
      </c>
      <c r="E908">
        <v>200</v>
      </c>
      <c r="F908" t="s">
        <v>942</v>
      </c>
      <c r="G908">
        <v>2022</v>
      </c>
      <c r="H908" t="s">
        <v>931</v>
      </c>
      <c r="I908" t="s">
        <v>934</v>
      </c>
      <c r="J908" t="s">
        <v>935</v>
      </c>
      <c r="K908" t="s">
        <v>931</v>
      </c>
      <c r="L908" t="s">
        <v>931</v>
      </c>
      <c r="M908" t="s">
        <v>952</v>
      </c>
      <c r="N908" t="s">
        <v>943</v>
      </c>
      <c r="O908" t="s">
        <v>922</v>
      </c>
    </row>
    <row r="909" spans="1:15" x14ac:dyDescent="0.35">
      <c r="A909" t="s">
        <v>324</v>
      </c>
      <c r="B909" t="s">
        <v>11</v>
      </c>
      <c r="C909" t="s">
        <v>931</v>
      </c>
      <c r="D909" t="s">
        <v>932</v>
      </c>
      <c r="E909">
        <v>200</v>
      </c>
      <c r="F909" t="s">
        <v>942</v>
      </c>
      <c r="G909">
        <v>2022</v>
      </c>
      <c r="H909" t="s">
        <v>931</v>
      </c>
      <c r="I909" t="s">
        <v>934</v>
      </c>
      <c r="J909" t="s">
        <v>935</v>
      </c>
      <c r="K909" t="s">
        <v>931</v>
      </c>
      <c r="L909" t="s">
        <v>931</v>
      </c>
      <c r="M909" t="s">
        <v>918</v>
      </c>
      <c r="N909" t="s">
        <v>943</v>
      </c>
      <c r="O909" t="s">
        <v>922</v>
      </c>
    </row>
    <row r="910" spans="1:15" x14ac:dyDescent="0.35">
      <c r="A910" t="s">
        <v>993</v>
      </c>
      <c r="B910" t="s">
        <v>994</v>
      </c>
      <c r="C910" t="s">
        <v>931</v>
      </c>
      <c r="D910" t="s">
        <v>932</v>
      </c>
      <c r="E910">
        <v>200</v>
      </c>
      <c r="F910" t="s">
        <v>942</v>
      </c>
      <c r="G910">
        <v>2023</v>
      </c>
      <c r="H910" t="s">
        <v>931</v>
      </c>
      <c r="I910" t="s">
        <v>934</v>
      </c>
      <c r="J910" t="s">
        <v>935</v>
      </c>
      <c r="K910" t="s">
        <v>931</v>
      </c>
      <c r="L910" t="s">
        <v>931</v>
      </c>
      <c r="M910" t="s">
        <v>952</v>
      </c>
      <c r="N910" t="s">
        <v>943</v>
      </c>
      <c r="O910" t="s">
        <v>922</v>
      </c>
    </row>
    <row r="911" spans="1:15" x14ac:dyDescent="0.35">
      <c r="A911" t="s">
        <v>995</v>
      </c>
      <c r="B911" t="s">
        <v>996</v>
      </c>
      <c r="C911" t="s">
        <v>931</v>
      </c>
      <c r="D911" t="s">
        <v>932</v>
      </c>
      <c r="E911">
        <v>200</v>
      </c>
      <c r="F911" t="s">
        <v>942</v>
      </c>
      <c r="G911">
        <v>2023</v>
      </c>
      <c r="H911" t="s">
        <v>931</v>
      </c>
      <c r="I911" t="s">
        <v>934</v>
      </c>
      <c r="J911" t="s">
        <v>935</v>
      </c>
      <c r="K911" t="s">
        <v>931</v>
      </c>
      <c r="L911" t="s">
        <v>931</v>
      </c>
      <c r="M911" t="s">
        <v>969</v>
      </c>
      <c r="N911" t="s">
        <v>943</v>
      </c>
      <c r="O911" t="s">
        <v>922</v>
      </c>
    </row>
    <row r="912" spans="1:15" x14ac:dyDescent="0.35">
      <c r="A912" t="s">
        <v>340</v>
      </c>
      <c r="B912" t="s">
        <v>12</v>
      </c>
      <c r="C912" t="s">
        <v>931</v>
      </c>
      <c r="D912" t="s">
        <v>932</v>
      </c>
      <c r="E912">
        <v>200</v>
      </c>
      <c r="F912" t="s">
        <v>942</v>
      </c>
      <c r="G912">
        <v>2023</v>
      </c>
      <c r="H912" t="s">
        <v>931</v>
      </c>
      <c r="I912" t="s">
        <v>934</v>
      </c>
      <c r="J912" t="s">
        <v>935</v>
      </c>
      <c r="K912" t="s">
        <v>931</v>
      </c>
      <c r="L912" t="s">
        <v>931</v>
      </c>
      <c r="M912" t="s">
        <v>918</v>
      </c>
      <c r="N912" t="s">
        <v>943</v>
      </c>
      <c r="O912" t="s">
        <v>922</v>
      </c>
    </row>
    <row r="913" spans="1:15" x14ac:dyDescent="0.35">
      <c r="A913" t="s">
        <v>997</v>
      </c>
      <c r="B913" t="s">
        <v>998</v>
      </c>
      <c r="C913" t="s">
        <v>931</v>
      </c>
      <c r="D913" t="s">
        <v>932</v>
      </c>
      <c r="E913">
        <v>200</v>
      </c>
      <c r="F913" t="s">
        <v>942</v>
      </c>
      <c r="G913">
        <v>2024</v>
      </c>
      <c r="H913" t="s">
        <v>931</v>
      </c>
      <c r="I913" t="s">
        <v>934</v>
      </c>
      <c r="J913" t="s">
        <v>935</v>
      </c>
      <c r="K913" t="s">
        <v>931</v>
      </c>
      <c r="L913" t="s">
        <v>931</v>
      </c>
      <c r="M913" t="s">
        <v>952</v>
      </c>
      <c r="N913" t="s">
        <v>943</v>
      </c>
      <c r="O913" t="s">
        <v>922</v>
      </c>
    </row>
    <row r="914" spans="1:15" x14ac:dyDescent="0.35">
      <c r="A914" t="s">
        <v>999</v>
      </c>
      <c r="B914" t="s">
        <v>1000</v>
      </c>
      <c r="C914" t="s">
        <v>931</v>
      </c>
      <c r="D914" t="s">
        <v>932</v>
      </c>
      <c r="E914">
        <v>200</v>
      </c>
      <c r="F914" t="s">
        <v>942</v>
      </c>
      <c r="G914">
        <v>2024</v>
      </c>
      <c r="H914" t="s">
        <v>931</v>
      </c>
      <c r="I914" t="s">
        <v>934</v>
      </c>
      <c r="J914" t="s">
        <v>935</v>
      </c>
      <c r="K914" t="s">
        <v>931</v>
      </c>
      <c r="L914" t="s">
        <v>931</v>
      </c>
      <c r="M914" t="s">
        <v>969</v>
      </c>
      <c r="N914" t="s">
        <v>943</v>
      </c>
      <c r="O914" t="s">
        <v>922</v>
      </c>
    </row>
    <row r="915" spans="1:15" x14ac:dyDescent="0.35">
      <c r="A915" t="s">
        <v>355</v>
      </c>
      <c r="B915" t="s">
        <v>13</v>
      </c>
      <c r="C915" t="s">
        <v>931</v>
      </c>
      <c r="D915" t="s">
        <v>932</v>
      </c>
      <c r="E915">
        <v>200</v>
      </c>
      <c r="F915" t="s">
        <v>942</v>
      </c>
      <c r="G915">
        <v>2024</v>
      </c>
      <c r="H915" t="s">
        <v>931</v>
      </c>
      <c r="I915" t="s">
        <v>934</v>
      </c>
      <c r="J915" t="s">
        <v>935</v>
      </c>
      <c r="K915" t="s">
        <v>931</v>
      </c>
      <c r="L915" t="s">
        <v>931</v>
      </c>
      <c r="M915" t="s">
        <v>918</v>
      </c>
      <c r="N915" t="s">
        <v>943</v>
      </c>
      <c r="O915" t="s">
        <v>922</v>
      </c>
    </row>
    <row r="916" spans="1:15" x14ac:dyDescent="0.35">
      <c r="A916" t="s">
        <v>678</v>
      </c>
      <c r="B916" t="s">
        <v>1001</v>
      </c>
      <c r="C916" t="s">
        <v>931</v>
      </c>
      <c r="D916" t="s">
        <v>932</v>
      </c>
      <c r="E916">
        <v>200</v>
      </c>
      <c r="F916" t="s">
        <v>942</v>
      </c>
      <c r="G916">
        <v>2025</v>
      </c>
      <c r="H916" t="s">
        <v>931</v>
      </c>
      <c r="I916" t="s">
        <v>934</v>
      </c>
      <c r="J916" t="s">
        <v>935</v>
      </c>
      <c r="K916" t="s">
        <v>931</v>
      </c>
      <c r="L916" t="s">
        <v>931</v>
      </c>
      <c r="M916" t="s">
        <v>952</v>
      </c>
      <c r="N916" t="s">
        <v>943</v>
      </c>
      <c r="O916" t="s">
        <v>948</v>
      </c>
    </row>
    <row r="917" spans="1:15" x14ac:dyDescent="0.35">
      <c r="A917" t="s">
        <v>1002</v>
      </c>
      <c r="B917" t="s">
        <v>1003</v>
      </c>
      <c r="C917" t="s">
        <v>931</v>
      </c>
      <c r="D917" t="s">
        <v>932</v>
      </c>
      <c r="E917">
        <v>200</v>
      </c>
      <c r="F917" t="s">
        <v>942</v>
      </c>
      <c r="G917">
        <v>2025</v>
      </c>
      <c r="H917" t="s">
        <v>931</v>
      </c>
      <c r="I917" t="s">
        <v>934</v>
      </c>
      <c r="J917" t="s">
        <v>935</v>
      </c>
      <c r="K917" t="s">
        <v>931</v>
      </c>
      <c r="L917" t="s">
        <v>931</v>
      </c>
      <c r="M917" t="s">
        <v>969</v>
      </c>
      <c r="N917" t="s">
        <v>943</v>
      </c>
      <c r="O917" t="s">
        <v>948</v>
      </c>
    </row>
    <row r="918" spans="1:15" x14ac:dyDescent="0.35">
      <c r="A918" t="s">
        <v>287</v>
      </c>
      <c r="B918" t="s">
        <v>105</v>
      </c>
      <c r="C918" t="s">
        <v>931</v>
      </c>
      <c r="D918" t="s">
        <v>932</v>
      </c>
      <c r="E918">
        <v>200</v>
      </c>
      <c r="F918" t="s">
        <v>942</v>
      </c>
      <c r="G918">
        <v>2025</v>
      </c>
      <c r="H918" t="s">
        <v>931</v>
      </c>
      <c r="I918" t="s">
        <v>934</v>
      </c>
      <c r="J918" t="s">
        <v>935</v>
      </c>
      <c r="K918" t="s">
        <v>931</v>
      </c>
      <c r="L918" t="s">
        <v>931</v>
      </c>
      <c r="M918" t="s">
        <v>918</v>
      </c>
      <c r="N918" t="s">
        <v>943</v>
      </c>
      <c r="O918" t="s">
        <v>948</v>
      </c>
    </row>
    <row r="919" spans="1:15" x14ac:dyDescent="0.35">
      <c r="A919" t="s">
        <v>1004</v>
      </c>
      <c r="B919" t="s">
        <v>1005</v>
      </c>
      <c r="C919" t="s">
        <v>931</v>
      </c>
      <c r="D919" t="s">
        <v>932</v>
      </c>
      <c r="E919">
        <v>200</v>
      </c>
      <c r="F919" t="s">
        <v>1006</v>
      </c>
      <c r="G919">
        <v>2020</v>
      </c>
      <c r="H919" t="s">
        <v>931</v>
      </c>
      <c r="I919" t="s">
        <v>934</v>
      </c>
      <c r="J919" t="s">
        <v>935</v>
      </c>
      <c r="K919" t="s">
        <v>931</v>
      </c>
      <c r="L919" t="s">
        <v>931</v>
      </c>
      <c r="M919" t="s">
        <v>952</v>
      </c>
      <c r="N919" t="s">
        <v>1007</v>
      </c>
      <c r="O919" t="s">
        <v>922</v>
      </c>
    </row>
    <row r="920" spans="1:15" x14ac:dyDescent="0.35">
      <c r="A920" t="s">
        <v>1008</v>
      </c>
      <c r="B920" t="s">
        <v>1009</v>
      </c>
      <c r="C920" t="s">
        <v>931</v>
      </c>
      <c r="D920" t="s">
        <v>932</v>
      </c>
      <c r="E920">
        <v>200</v>
      </c>
      <c r="F920" t="s">
        <v>1006</v>
      </c>
      <c r="G920">
        <v>2020</v>
      </c>
      <c r="H920" t="s">
        <v>931</v>
      </c>
      <c r="I920" t="s">
        <v>934</v>
      </c>
      <c r="J920" t="s">
        <v>935</v>
      </c>
      <c r="K920" t="s">
        <v>931</v>
      </c>
      <c r="L920" t="s">
        <v>931</v>
      </c>
      <c r="M920" t="s">
        <v>918</v>
      </c>
      <c r="N920" t="s">
        <v>1007</v>
      </c>
      <c r="O920" t="s">
        <v>922</v>
      </c>
    </row>
    <row r="921" spans="1:15" x14ac:dyDescent="0.35">
      <c r="A921" t="s">
        <v>1010</v>
      </c>
      <c r="B921" t="s">
        <v>1011</v>
      </c>
      <c r="C921" t="s">
        <v>931</v>
      </c>
      <c r="D921" t="s">
        <v>932</v>
      </c>
      <c r="E921">
        <v>200</v>
      </c>
      <c r="F921" t="s">
        <v>917</v>
      </c>
      <c r="G921">
        <v>2021</v>
      </c>
      <c r="H921" t="s">
        <v>931</v>
      </c>
      <c r="I921" t="s">
        <v>934</v>
      </c>
      <c r="J921" t="s">
        <v>935</v>
      </c>
      <c r="K921" t="s">
        <v>931</v>
      </c>
      <c r="L921" t="s">
        <v>931</v>
      </c>
      <c r="M921" t="s">
        <v>918</v>
      </c>
      <c r="N921" t="s">
        <v>955</v>
      </c>
      <c r="O921" t="s">
        <v>922</v>
      </c>
    </row>
    <row r="922" spans="1:15" x14ac:dyDescent="0.35">
      <c r="A922" t="s">
        <v>853</v>
      </c>
      <c r="B922" t="s">
        <v>1012</v>
      </c>
      <c r="C922" t="s">
        <v>931</v>
      </c>
      <c r="D922" t="s">
        <v>932</v>
      </c>
      <c r="E922">
        <v>200</v>
      </c>
      <c r="F922" t="s">
        <v>958</v>
      </c>
      <c r="G922">
        <v>2019</v>
      </c>
      <c r="H922" t="s">
        <v>931</v>
      </c>
      <c r="I922" t="s">
        <v>934</v>
      </c>
      <c r="J922" t="s">
        <v>935</v>
      </c>
      <c r="K922" t="s">
        <v>931</v>
      </c>
      <c r="L922" t="s">
        <v>931</v>
      </c>
      <c r="M922" t="s">
        <v>918</v>
      </c>
      <c r="N922" t="s">
        <v>959</v>
      </c>
      <c r="O922" t="s">
        <v>922</v>
      </c>
    </row>
    <row r="923" spans="1:15" x14ac:dyDescent="0.35">
      <c r="A923" t="s">
        <v>679</v>
      </c>
      <c r="B923" t="s">
        <v>621</v>
      </c>
      <c r="C923" t="s">
        <v>931</v>
      </c>
      <c r="D923" t="s">
        <v>932</v>
      </c>
      <c r="E923">
        <v>200</v>
      </c>
      <c r="F923" t="s">
        <v>917</v>
      </c>
      <c r="G923">
        <v>2025</v>
      </c>
      <c r="H923" t="s">
        <v>931</v>
      </c>
      <c r="I923" t="s">
        <v>934</v>
      </c>
      <c r="J923" t="s">
        <v>935</v>
      </c>
      <c r="K923" t="s">
        <v>931</v>
      </c>
      <c r="L923" t="s">
        <v>931</v>
      </c>
      <c r="M923" t="s">
        <v>952</v>
      </c>
      <c r="N923" t="s">
        <v>955</v>
      </c>
      <c r="O923" t="s">
        <v>922</v>
      </c>
    </row>
    <row r="924" spans="1:15" x14ac:dyDescent="0.35">
      <c r="A924" t="s">
        <v>2211</v>
      </c>
      <c r="B924" t="s">
        <v>2212</v>
      </c>
      <c r="C924" t="s">
        <v>931</v>
      </c>
      <c r="D924" t="s">
        <v>932</v>
      </c>
      <c r="E924">
        <v>200</v>
      </c>
      <c r="F924" t="s">
        <v>933</v>
      </c>
      <c r="G924">
        <v>2026</v>
      </c>
      <c r="H924" t="s">
        <v>931</v>
      </c>
      <c r="I924" t="s">
        <v>934</v>
      </c>
      <c r="J924" t="s">
        <v>935</v>
      </c>
      <c r="K924" t="s">
        <v>931</v>
      </c>
      <c r="L924" t="s">
        <v>931</v>
      </c>
      <c r="M924" t="s">
        <v>920</v>
      </c>
      <c r="N924" t="s">
        <v>936</v>
      </c>
      <c r="O924" t="s">
        <v>939</v>
      </c>
    </row>
    <row r="925" spans="1:15" x14ac:dyDescent="0.35">
      <c r="A925" t="s">
        <v>2213</v>
      </c>
      <c r="B925" t="s">
        <v>2214</v>
      </c>
      <c r="C925" t="s">
        <v>931</v>
      </c>
      <c r="D925" t="s">
        <v>932</v>
      </c>
      <c r="E925">
        <v>200</v>
      </c>
      <c r="F925" t="s">
        <v>942</v>
      </c>
      <c r="G925">
        <v>2026</v>
      </c>
      <c r="H925" t="s">
        <v>931</v>
      </c>
      <c r="I925" t="s">
        <v>934</v>
      </c>
      <c r="J925" t="s">
        <v>935</v>
      </c>
      <c r="K925" t="s">
        <v>931</v>
      </c>
      <c r="L925" t="s">
        <v>931</v>
      </c>
      <c r="M925" t="s">
        <v>920</v>
      </c>
      <c r="N925" t="s">
        <v>943</v>
      </c>
      <c r="O925" t="s">
        <v>948</v>
      </c>
    </row>
    <row r="926" spans="1:15" x14ac:dyDescent="0.35">
      <c r="A926" t="s">
        <v>2333</v>
      </c>
      <c r="B926" t="s">
        <v>2334</v>
      </c>
      <c r="C926" t="s">
        <v>931</v>
      </c>
      <c r="D926" t="s">
        <v>932</v>
      </c>
      <c r="E926">
        <v>200</v>
      </c>
      <c r="F926" t="s">
        <v>933</v>
      </c>
      <c r="G926">
        <v>2026</v>
      </c>
      <c r="H926" t="s">
        <v>931</v>
      </c>
      <c r="I926" t="s">
        <v>934</v>
      </c>
      <c r="J926" t="s">
        <v>935</v>
      </c>
      <c r="K926" t="s">
        <v>931</v>
      </c>
      <c r="L926" t="s">
        <v>931</v>
      </c>
      <c r="M926" t="s">
        <v>952</v>
      </c>
      <c r="N926" t="s">
        <v>936</v>
      </c>
      <c r="O926" t="s">
        <v>939</v>
      </c>
    </row>
    <row r="927" spans="1:15" x14ac:dyDescent="0.35">
      <c r="A927" t="s">
        <v>2335</v>
      </c>
      <c r="B927" t="s">
        <v>2336</v>
      </c>
      <c r="C927" t="s">
        <v>931</v>
      </c>
      <c r="D927" t="s">
        <v>932</v>
      </c>
      <c r="E927">
        <v>200</v>
      </c>
      <c r="F927" t="s">
        <v>942</v>
      </c>
      <c r="G927">
        <v>2026</v>
      </c>
      <c r="H927" t="s">
        <v>931</v>
      </c>
      <c r="I927" t="s">
        <v>934</v>
      </c>
      <c r="J927" t="s">
        <v>935</v>
      </c>
      <c r="K927" t="s">
        <v>931</v>
      </c>
      <c r="L927" t="s">
        <v>931</v>
      </c>
      <c r="M927" t="s">
        <v>952</v>
      </c>
      <c r="N927" t="s">
        <v>943</v>
      </c>
      <c r="O927" t="s">
        <v>948</v>
      </c>
    </row>
    <row r="928" spans="1:15" x14ac:dyDescent="0.35">
      <c r="A928" t="s">
        <v>2411</v>
      </c>
      <c r="B928" t="s">
        <v>2334</v>
      </c>
      <c r="C928" t="s">
        <v>931</v>
      </c>
      <c r="D928" t="s">
        <v>932</v>
      </c>
      <c r="E928">
        <v>200</v>
      </c>
      <c r="F928" t="s">
        <v>933</v>
      </c>
      <c r="G928">
        <v>2026</v>
      </c>
      <c r="H928" t="s">
        <v>931</v>
      </c>
      <c r="I928" t="s">
        <v>934</v>
      </c>
      <c r="J928" t="s">
        <v>935</v>
      </c>
      <c r="K928" t="s">
        <v>931</v>
      </c>
      <c r="L928" t="s">
        <v>931</v>
      </c>
      <c r="M928" t="s">
        <v>918</v>
      </c>
      <c r="N928" t="s">
        <v>936</v>
      </c>
      <c r="O928" t="s">
        <v>939</v>
      </c>
    </row>
    <row r="929" spans="1:15" x14ac:dyDescent="0.35">
      <c r="A929" t="s">
        <v>386</v>
      </c>
      <c r="B929" t="s">
        <v>2336</v>
      </c>
      <c r="C929" t="s">
        <v>931</v>
      </c>
      <c r="D929" t="s">
        <v>932</v>
      </c>
      <c r="E929">
        <v>200</v>
      </c>
      <c r="F929" t="s">
        <v>942</v>
      </c>
      <c r="G929">
        <v>2026</v>
      </c>
      <c r="H929" t="s">
        <v>931</v>
      </c>
      <c r="I929" t="s">
        <v>934</v>
      </c>
      <c r="J929" t="s">
        <v>935</v>
      </c>
      <c r="K929" t="s">
        <v>931</v>
      </c>
      <c r="L929" t="s">
        <v>931</v>
      </c>
      <c r="M929" t="s">
        <v>918</v>
      </c>
      <c r="N929" t="s">
        <v>943</v>
      </c>
      <c r="O929" t="s">
        <v>948</v>
      </c>
    </row>
    <row r="930" spans="1:15" x14ac:dyDescent="0.35">
      <c r="A930" t="s">
        <v>2433</v>
      </c>
      <c r="B930" t="s">
        <v>2334</v>
      </c>
      <c r="C930" t="s">
        <v>931</v>
      </c>
      <c r="D930" t="s">
        <v>932</v>
      </c>
      <c r="E930">
        <v>200</v>
      </c>
      <c r="F930" t="s">
        <v>933</v>
      </c>
      <c r="G930">
        <v>2026</v>
      </c>
      <c r="H930" t="s">
        <v>931</v>
      </c>
      <c r="I930" t="s">
        <v>934</v>
      </c>
      <c r="J930" t="s">
        <v>935</v>
      </c>
      <c r="K930" t="s">
        <v>931</v>
      </c>
      <c r="L930" t="s">
        <v>931</v>
      </c>
      <c r="M930" t="s">
        <v>969</v>
      </c>
      <c r="N930" t="s">
        <v>936</v>
      </c>
      <c r="O930" t="s">
        <v>939</v>
      </c>
    </row>
    <row r="931" spans="1:15" x14ac:dyDescent="0.35">
      <c r="A931" t="s">
        <v>2434</v>
      </c>
      <c r="B931" t="s">
        <v>2336</v>
      </c>
      <c r="C931" t="s">
        <v>931</v>
      </c>
      <c r="D931" t="s">
        <v>932</v>
      </c>
      <c r="E931">
        <v>200</v>
      </c>
      <c r="F931" t="s">
        <v>942</v>
      </c>
      <c r="G931">
        <v>2026</v>
      </c>
      <c r="H931" t="s">
        <v>931</v>
      </c>
      <c r="I931" t="s">
        <v>934</v>
      </c>
      <c r="J931" t="s">
        <v>935</v>
      </c>
      <c r="K931" t="s">
        <v>931</v>
      </c>
      <c r="L931" t="s">
        <v>931</v>
      </c>
      <c r="M931" t="s">
        <v>969</v>
      </c>
      <c r="N931" t="s">
        <v>943</v>
      </c>
      <c r="O931" t="s">
        <v>948</v>
      </c>
    </row>
    <row r="932" spans="1:15" x14ac:dyDescent="0.35">
      <c r="A932" t="s">
        <v>913</v>
      </c>
      <c r="B932" t="s">
        <v>914</v>
      </c>
      <c r="C932" t="s">
        <v>915</v>
      </c>
      <c r="D932" t="s">
        <v>916</v>
      </c>
      <c r="E932">
        <v>250</v>
      </c>
      <c r="F932" t="s">
        <v>917</v>
      </c>
      <c r="G932">
        <v>2022</v>
      </c>
      <c r="H932" t="s">
        <v>915</v>
      </c>
      <c r="I932" t="s">
        <v>918</v>
      </c>
      <c r="J932" t="s">
        <v>919</v>
      </c>
      <c r="K932" t="s">
        <v>919</v>
      </c>
      <c r="M932" t="s">
        <v>920</v>
      </c>
      <c r="N932" t="s">
        <v>921</v>
      </c>
      <c r="O932" t="s">
        <v>922</v>
      </c>
    </row>
    <row r="933" spans="1:15" x14ac:dyDescent="0.35">
      <c r="A933" t="s">
        <v>923</v>
      </c>
      <c r="B933" t="s">
        <v>924</v>
      </c>
      <c r="C933" t="s">
        <v>915</v>
      </c>
      <c r="D933" t="s">
        <v>916</v>
      </c>
      <c r="E933">
        <v>250</v>
      </c>
      <c r="F933" t="s">
        <v>917</v>
      </c>
      <c r="G933">
        <v>2020</v>
      </c>
      <c r="H933" t="s">
        <v>915</v>
      </c>
      <c r="I933" t="s">
        <v>918</v>
      </c>
      <c r="J933" t="s">
        <v>919</v>
      </c>
      <c r="K933" t="s">
        <v>919</v>
      </c>
      <c r="M933" t="s">
        <v>918</v>
      </c>
      <c r="N933" t="s">
        <v>921</v>
      </c>
      <c r="O933" t="s">
        <v>922</v>
      </c>
    </row>
    <row r="934" spans="1:15" x14ac:dyDescent="0.35">
      <c r="A934" t="s">
        <v>925</v>
      </c>
      <c r="B934" t="s">
        <v>926</v>
      </c>
      <c r="C934" t="s">
        <v>915</v>
      </c>
      <c r="D934" t="s">
        <v>916</v>
      </c>
      <c r="E934">
        <v>250</v>
      </c>
      <c r="F934" t="s">
        <v>917</v>
      </c>
      <c r="G934">
        <v>2020</v>
      </c>
      <c r="H934" t="s">
        <v>915</v>
      </c>
      <c r="I934" t="s">
        <v>918</v>
      </c>
      <c r="J934" t="s">
        <v>919</v>
      </c>
      <c r="K934" t="s">
        <v>919</v>
      </c>
      <c r="M934" t="s">
        <v>918</v>
      </c>
      <c r="N934" t="s">
        <v>921</v>
      </c>
      <c r="O934" t="s">
        <v>922</v>
      </c>
    </row>
    <row r="935" spans="1:15" x14ac:dyDescent="0.35">
      <c r="A935" t="s">
        <v>927</v>
      </c>
      <c r="B935" t="s">
        <v>928</v>
      </c>
      <c r="C935" t="s">
        <v>915</v>
      </c>
      <c r="D935" t="s">
        <v>916</v>
      </c>
      <c r="E935">
        <v>250</v>
      </c>
      <c r="F935" t="s">
        <v>917</v>
      </c>
      <c r="G935">
        <v>2022</v>
      </c>
      <c r="H935" t="s">
        <v>915</v>
      </c>
      <c r="I935" t="s">
        <v>918</v>
      </c>
      <c r="J935" t="s">
        <v>919</v>
      </c>
      <c r="K935" t="s">
        <v>919</v>
      </c>
      <c r="M935" t="s">
        <v>918</v>
      </c>
      <c r="N935" t="s">
        <v>921</v>
      </c>
      <c r="O935" t="s">
        <v>922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919DB6-1F28-4145-BDB0-F0559D43445B}">
  <dimension ref="A1:G1443"/>
  <sheetViews>
    <sheetView tabSelected="1" workbookViewId="0">
      <selection activeCell="E398" sqref="E398"/>
    </sheetView>
  </sheetViews>
  <sheetFormatPr baseColWidth="10" defaultRowHeight="14.5" x14ac:dyDescent="0.35"/>
  <cols>
    <col min="1" max="1" width="11.26953125" bestFit="1" customWidth="1"/>
    <col min="2" max="2" width="31.36328125" style="1" bestFit="1" customWidth="1"/>
    <col min="3" max="3" width="50.81640625" bestFit="1" customWidth="1"/>
    <col min="4" max="4" width="15.453125" bestFit="1" customWidth="1"/>
    <col min="5" max="5" width="24.26953125" bestFit="1" customWidth="1"/>
    <col min="6" max="6" width="7.54296875" bestFit="1" customWidth="1"/>
    <col min="7" max="7" width="12.7265625" bestFit="1" customWidth="1"/>
  </cols>
  <sheetData>
    <row r="1" spans="1:7" x14ac:dyDescent="0.35">
      <c r="A1" t="s">
        <v>2559</v>
      </c>
      <c r="B1" s="1" t="s">
        <v>2558</v>
      </c>
      <c r="C1" t="s">
        <v>2</v>
      </c>
      <c r="D1" t="s">
        <v>0</v>
      </c>
      <c r="E1" t="s">
        <v>1</v>
      </c>
      <c r="F1" t="s">
        <v>2560</v>
      </c>
      <c r="G1" t="s">
        <v>2561</v>
      </c>
    </row>
    <row r="2" spans="1:7" x14ac:dyDescent="0.35">
      <c r="A2" t="s">
        <v>221</v>
      </c>
      <c r="B2" s="1">
        <v>2906968</v>
      </c>
      <c r="D2" t="s">
        <v>303</v>
      </c>
      <c r="E2" s="2" t="str">
        <f>_xlfn.XLOOKUP(Cat_SKU[[#This Row],[Item]],CAT_MOD_v31[NÚMERO DE ARTÍCULO (SAP)],CAT_MOD_v31[RESUMIDO],"",0)</f>
        <v>Avenger Cruise 220</v>
      </c>
      <c r="F2" s="2" t="str">
        <f>_xlfn.XLOOKUP(Cat_SKU[[#This Row],[Item]],CAT_MOD_v31[NÚMERO DE ARTÍCULO (SAP)],CAT_MOD_v31[COLOR],"",0)</f>
        <v>Negro</v>
      </c>
      <c r="G2" s="2">
        <f>_xlfn.XLOOKUP(Cat_SKU[[#This Row],[Item]],CAT_MOD_v31[NÚMERO DE ARTÍCULO (SAP)],CAT_MOD_v31[AÑO],"",0)</f>
        <v>2024</v>
      </c>
    </row>
    <row r="3" spans="1:7" x14ac:dyDescent="0.35">
      <c r="A3" t="s">
        <v>221</v>
      </c>
      <c r="B3" s="1">
        <v>2906969</v>
      </c>
      <c r="D3" t="s">
        <v>299</v>
      </c>
      <c r="E3" s="2" t="str">
        <f>_xlfn.XLOOKUP(Cat_SKU[[#This Row],[Item]],CAT_MOD_v31[NÚMERO DE ARTÍCULO (SAP)],CAT_MOD_v31[RESUMIDO],"",0)</f>
        <v>Boxer BM150</v>
      </c>
      <c r="F3" s="2" t="str">
        <f>_xlfn.XLOOKUP(Cat_SKU[[#This Row],[Item]],CAT_MOD_v31[NÚMERO DE ARTÍCULO (SAP)],CAT_MOD_v31[COLOR],"",0)</f>
        <v>Blanco</v>
      </c>
      <c r="G3" s="2">
        <f>_xlfn.XLOOKUP(Cat_SKU[[#This Row],[Item]],CAT_MOD_v31[NÚMERO DE ARTÍCULO (SAP)],CAT_MOD_v31[AÑO],"",0)</f>
        <v>2024</v>
      </c>
    </row>
    <row r="4" spans="1:7" x14ac:dyDescent="0.35">
      <c r="A4" t="s">
        <v>221</v>
      </c>
      <c r="B4" s="1">
        <v>2906970</v>
      </c>
      <c r="D4" t="s">
        <v>296</v>
      </c>
      <c r="E4" s="2" t="str">
        <f>_xlfn.XLOOKUP(Cat_SKU[[#This Row],[Item]],CAT_MOD_v31[NÚMERO DE ARTÍCULO (SAP)],CAT_MOD_v31[RESUMIDO],"",0)</f>
        <v>Boxer BM150</v>
      </c>
      <c r="F4" s="2" t="str">
        <f>_xlfn.XLOOKUP(Cat_SKU[[#This Row],[Item]],CAT_MOD_v31[NÚMERO DE ARTÍCULO (SAP)],CAT_MOD_v31[COLOR],"",0)</f>
        <v>Negro</v>
      </c>
      <c r="G4" s="2">
        <f>_xlfn.XLOOKUP(Cat_SKU[[#This Row],[Item]],CAT_MOD_v31[NÚMERO DE ARTÍCULO (SAP)],CAT_MOD_v31[AÑO],"",0)</f>
        <v>2024</v>
      </c>
    </row>
    <row r="5" spans="1:7" x14ac:dyDescent="0.35">
      <c r="A5" t="s">
        <v>221</v>
      </c>
      <c r="B5" s="1">
        <v>2906973</v>
      </c>
      <c r="D5" t="s">
        <v>297</v>
      </c>
      <c r="E5" s="2" t="str">
        <f>_xlfn.XLOOKUP(Cat_SKU[[#This Row],[Item]],CAT_MOD_v31[NÚMERO DE ARTÍCULO (SAP)],CAT_MOD_v31[RESUMIDO],"",0)</f>
        <v>Dominar 400</v>
      </c>
      <c r="F5" s="2" t="str">
        <f>_xlfn.XLOOKUP(Cat_SKU[[#This Row],[Item]],CAT_MOD_v31[NÚMERO DE ARTÍCULO (SAP)],CAT_MOD_v31[COLOR],"",0)</f>
        <v>Negro</v>
      </c>
      <c r="G5" s="2">
        <f>_xlfn.XLOOKUP(Cat_SKU[[#This Row],[Item]],CAT_MOD_v31[NÚMERO DE ARTÍCULO (SAP)],CAT_MOD_v31[AÑO],"",0)</f>
        <v>2024</v>
      </c>
    </row>
    <row r="6" spans="1:7" x14ac:dyDescent="0.35">
      <c r="A6" t="s">
        <v>221</v>
      </c>
      <c r="B6" s="1">
        <v>2906975</v>
      </c>
      <c r="D6" t="s">
        <v>293</v>
      </c>
      <c r="E6" s="2" t="str">
        <f>_xlfn.XLOOKUP(Cat_SKU[[#This Row],[Item]],CAT_MOD_v31[NÚMERO DE ARTÍCULO (SAP)],CAT_MOD_v31[RESUMIDO],"",0)</f>
        <v>Pulsar N160 FI ABS</v>
      </c>
      <c r="F6" s="2" t="str">
        <f>_xlfn.XLOOKUP(Cat_SKU[[#This Row],[Item]],CAT_MOD_v31[NÚMERO DE ARTÍCULO (SAP)],CAT_MOD_v31[COLOR],"",0)</f>
        <v>Negro</v>
      </c>
      <c r="G6" s="2">
        <f>_xlfn.XLOOKUP(Cat_SKU[[#This Row],[Item]],CAT_MOD_v31[NÚMERO DE ARTÍCULO (SAP)],CAT_MOD_v31[AÑO],"",0)</f>
        <v>2024</v>
      </c>
    </row>
    <row r="7" spans="1:7" x14ac:dyDescent="0.35">
      <c r="A7" t="s">
        <v>221</v>
      </c>
      <c r="B7" s="1">
        <v>2906976</v>
      </c>
      <c r="D7" t="s">
        <v>294</v>
      </c>
      <c r="E7" s="2" t="str">
        <f>_xlfn.XLOOKUP(Cat_SKU[[#This Row],[Item]],CAT_MOD_v31[NÚMERO DE ARTÍCULO (SAP)],CAT_MOD_v31[RESUMIDO],"",0)</f>
        <v>Pulsar N250 FI ABS</v>
      </c>
      <c r="F7" s="2" t="str">
        <f>_xlfn.XLOOKUP(Cat_SKU[[#This Row],[Item]],CAT_MOD_v31[NÚMERO DE ARTÍCULO (SAP)],CAT_MOD_v31[COLOR],"",0)</f>
        <v>Negro</v>
      </c>
      <c r="G7" s="2">
        <f>_xlfn.XLOOKUP(Cat_SKU[[#This Row],[Item]],CAT_MOD_v31[NÚMERO DE ARTÍCULO (SAP)],CAT_MOD_v31[AÑO],"",0)</f>
        <v>2024</v>
      </c>
    </row>
    <row r="8" spans="1:7" x14ac:dyDescent="0.35">
      <c r="A8" t="s">
        <v>221</v>
      </c>
      <c r="B8" s="1">
        <v>2906977</v>
      </c>
      <c r="D8" t="s">
        <v>289</v>
      </c>
      <c r="E8" s="2" t="str">
        <f>_xlfn.XLOOKUP(Cat_SKU[[#This Row],[Item]],CAT_MOD_v31[NÚMERO DE ARTÍCULO (SAP)],CAT_MOD_v31[RESUMIDO],"",0)</f>
        <v>Pulsar NS125 UG</v>
      </c>
      <c r="F8" s="2" t="str">
        <f>_xlfn.XLOOKUP(Cat_SKU[[#This Row],[Item]],CAT_MOD_v31[NÚMERO DE ARTÍCULO (SAP)],CAT_MOD_v31[COLOR],"",0)</f>
        <v>Gris</v>
      </c>
      <c r="G8" s="2">
        <f>_xlfn.XLOOKUP(Cat_SKU[[#This Row],[Item]],CAT_MOD_v31[NÚMERO DE ARTÍCULO (SAP)],CAT_MOD_v31[AÑO],"",0)</f>
        <v>2024</v>
      </c>
    </row>
    <row r="9" spans="1:7" x14ac:dyDescent="0.35">
      <c r="A9" t="s">
        <v>221</v>
      </c>
      <c r="B9" s="1">
        <v>2906978</v>
      </c>
      <c r="D9" t="s">
        <v>290</v>
      </c>
      <c r="E9" s="2" t="str">
        <f>_xlfn.XLOOKUP(Cat_SKU[[#This Row],[Item]],CAT_MOD_v31[NÚMERO DE ARTÍCULO (SAP)],CAT_MOD_v31[RESUMIDO],"",0)</f>
        <v>Pulsar NS125 UG</v>
      </c>
      <c r="F9" s="2" t="str">
        <f>_xlfn.XLOOKUP(Cat_SKU[[#This Row],[Item]],CAT_MOD_v31[NÚMERO DE ARTÍCULO (SAP)],CAT_MOD_v31[COLOR],"",0)</f>
        <v>Naranja</v>
      </c>
      <c r="G9" s="2">
        <f>_xlfn.XLOOKUP(Cat_SKU[[#This Row],[Item]],CAT_MOD_v31[NÚMERO DE ARTÍCULO (SAP)],CAT_MOD_v31[AÑO],"",0)</f>
        <v>2024</v>
      </c>
    </row>
    <row r="10" spans="1:7" x14ac:dyDescent="0.35">
      <c r="A10" t="s">
        <v>221</v>
      </c>
      <c r="B10" s="1">
        <v>2906979</v>
      </c>
      <c r="D10" t="s">
        <v>292</v>
      </c>
      <c r="E10" s="2" t="str">
        <f>_xlfn.XLOOKUP(Cat_SKU[[#This Row],[Item]],CAT_MOD_v31[NÚMERO DE ARTÍCULO (SAP)],CAT_MOD_v31[RESUMIDO],"",0)</f>
        <v>Pulsar NS160 UG</v>
      </c>
      <c r="F10" s="2" t="str">
        <f>_xlfn.XLOOKUP(Cat_SKU[[#This Row],[Item]],CAT_MOD_v31[NÚMERO DE ARTÍCULO (SAP)],CAT_MOD_v31[COLOR],"",0)</f>
        <v>Gris</v>
      </c>
      <c r="G10" s="2">
        <f>_xlfn.XLOOKUP(Cat_SKU[[#This Row],[Item]],CAT_MOD_v31[NÚMERO DE ARTÍCULO (SAP)],CAT_MOD_v31[AÑO],"",0)</f>
        <v>2024</v>
      </c>
    </row>
    <row r="11" spans="1:7" x14ac:dyDescent="0.35">
      <c r="A11" t="s">
        <v>221</v>
      </c>
      <c r="B11" s="1">
        <v>2906980</v>
      </c>
      <c r="C11" t="s">
        <v>244</v>
      </c>
      <c r="D11" t="s">
        <v>277</v>
      </c>
      <c r="E11" s="2" t="str">
        <f>_xlfn.XLOOKUP(Cat_SKU[[#This Row],[Item]],CAT_MOD_v31[NÚMERO DE ARTÍCULO (SAP)],CAT_MOD_v31[RESUMIDO],"",0)</f>
        <v>Pulsar NS160 UG</v>
      </c>
      <c r="F11" s="2" t="str">
        <f>_xlfn.XLOOKUP(Cat_SKU[[#This Row],[Item]],CAT_MOD_v31[NÚMERO DE ARTÍCULO (SAP)],CAT_MOD_v31[COLOR],"",0)</f>
        <v>Negro</v>
      </c>
      <c r="G11" s="2">
        <f>_xlfn.XLOOKUP(Cat_SKU[[#This Row],[Item]],CAT_MOD_v31[NÚMERO DE ARTÍCULO (SAP)],CAT_MOD_v31[AÑO],"",0)</f>
        <v>2024</v>
      </c>
    </row>
    <row r="12" spans="1:7" x14ac:dyDescent="0.35">
      <c r="A12" t="s">
        <v>221</v>
      </c>
      <c r="B12" s="1">
        <v>2906981</v>
      </c>
      <c r="D12" t="s">
        <v>295</v>
      </c>
      <c r="E12" s="2" t="str">
        <f>_xlfn.XLOOKUP(Cat_SKU[[#This Row],[Item]],CAT_MOD_v31[NÚMERO DE ARTÍCULO (SAP)],CAT_MOD_v31[RESUMIDO],"",0)</f>
        <v>Pulsar NS160 UG</v>
      </c>
      <c r="F12" s="2" t="str">
        <f>_xlfn.XLOOKUP(Cat_SKU[[#This Row],[Item]],CAT_MOD_v31[NÚMERO DE ARTÍCULO (SAP)],CAT_MOD_v31[COLOR],"",0)</f>
        <v>Perla</v>
      </c>
      <c r="G12" s="2">
        <f>_xlfn.XLOOKUP(Cat_SKU[[#This Row],[Item]],CAT_MOD_v31[NÚMERO DE ARTÍCULO (SAP)],CAT_MOD_v31[AÑO],"",0)</f>
        <v>2024</v>
      </c>
    </row>
    <row r="13" spans="1:7" x14ac:dyDescent="0.35">
      <c r="A13" t="s">
        <v>221</v>
      </c>
      <c r="B13" s="1">
        <v>2906982</v>
      </c>
      <c r="D13" t="s">
        <v>302</v>
      </c>
      <c r="E13" s="2" t="str">
        <f>_xlfn.XLOOKUP(Cat_SKU[[#This Row],[Item]],CAT_MOD_v31[NÚMERO DE ARTÍCULO (SAP)],CAT_MOD_v31[RESUMIDO],"",0)</f>
        <v>Pulsar NS200 UG</v>
      </c>
      <c r="F13" s="2" t="str">
        <f>_xlfn.XLOOKUP(Cat_SKU[[#This Row],[Item]],CAT_MOD_v31[NÚMERO DE ARTÍCULO (SAP)],CAT_MOD_v31[COLOR],"",0)</f>
        <v>Gris</v>
      </c>
      <c r="G13" s="2">
        <f>_xlfn.XLOOKUP(Cat_SKU[[#This Row],[Item]],CAT_MOD_v31[NÚMERO DE ARTÍCULO (SAP)],CAT_MOD_v31[AÑO],"",0)</f>
        <v>2024</v>
      </c>
    </row>
    <row r="14" spans="1:7" x14ac:dyDescent="0.35">
      <c r="A14" t="s">
        <v>221</v>
      </c>
      <c r="B14" s="1">
        <v>2906983</v>
      </c>
      <c r="D14" t="s">
        <v>291</v>
      </c>
      <c r="E14" s="2" t="str">
        <f>_xlfn.XLOOKUP(Cat_SKU[[#This Row],[Item]],CAT_MOD_v31[NÚMERO DE ARTÍCULO (SAP)],CAT_MOD_v31[RESUMIDO],"",0)</f>
        <v>Pulsar NS200 UG</v>
      </c>
      <c r="F14" s="2" t="str">
        <f>_xlfn.XLOOKUP(Cat_SKU[[#This Row],[Item]],CAT_MOD_v31[NÚMERO DE ARTÍCULO (SAP)],CAT_MOD_v31[COLOR],"",0)</f>
        <v>Negro</v>
      </c>
      <c r="G14" s="2">
        <f>_xlfn.XLOOKUP(Cat_SKU[[#This Row],[Item]],CAT_MOD_v31[NÚMERO DE ARTÍCULO (SAP)],CAT_MOD_v31[AÑO],"",0)</f>
        <v>2024</v>
      </c>
    </row>
    <row r="15" spans="1:7" x14ac:dyDescent="0.35">
      <c r="A15" t="s">
        <v>221</v>
      </c>
      <c r="B15" s="1">
        <v>2906984</v>
      </c>
      <c r="D15" t="s">
        <v>298</v>
      </c>
      <c r="E15" s="2" t="str">
        <f>_xlfn.XLOOKUP(Cat_SKU[[#This Row],[Item]],CAT_MOD_v31[NÚMERO DE ARTÍCULO (SAP)],CAT_MOD_v31[RESUMIDO],"",0)</f>
        <v>Pulsar NS200 UG</v>
      </c>
      <c r="F15" s="2" t="str">
        <f>_xlfn.XLOOKUP(Cat_SKU[[#This Row],[Item]],CAT_MOD_v31[NÚMERO DE ARTÍCULO (SAP)],CAT_MOD_v31[COLOR],"",0)</f>
        <v>Perla</v>
      </c>
      <c r="G15" s="2">
        <f>_xlfn.XLOOKUP(Cat_SKU[[#This Row],[Item]],CAT_MOD_v31[NÚMERO DE ARTÍCULO (SAP)],CAT_MOD_v31[AÑO],"",0)</f>
        <v>2024</v>
      </c>
    </row>
    <row r="16" spans="1:7" x14ac:dyDescent="0.35">
      <c r="A16" t="s">
        <v>221</v>
      </c>
      <c r="B16" s="1">
        <v>2906985</v>
      </c>
      <c r="D16" t="s">
        <v>301</v>
      </c>
      <c r="E16" s="2" t="str">
        <f>_xlfn.XLOOKUP(Cat_SKU[[#This Row],[Item]],CAT_MOD_v31[NÚMERO DE ARTÍCULO (SAP)],CAT_MOD_v31[RESUMIDO],"",0)</f>
        <v>Pulsar RS200</v>
      </c>
      <c r="F16" s="2" t="str">
        <f>_xlfn.XLOOKUP(Cat_SKU[[#This Row],[Item]],CAT_MOD_v31[NÚMERO DE ARTÍCULO (SAP)],CAT_MOD_v31[COLOR],"",0)</f>
        <v>Gris</v>
      </c>
      <c r="G16" s="2">
        <f>_xlfn.XLOOKUP(Cat_SKU[[#This Row],[Item]],CAT_MOD_v31[NÚMERO DE ARTÍCULO (SAP)],CAT_MOD_v31[AÑO],"",0)</f>
        <v>2024</v>
      </c>
    </row>
    <row r="17" spans="1:7" x14ac:dyDescent="0.35">
      <c r="A17" t="s">
        <v>221</v>
      </c>
      <c r="B17" s="1">
        <v>2940384</v>
      </c>
      <c r="C17" t="s">
        <v>101</v>
      </c>
      <c r="D17" t="s">
        <v>255</v>
      </c>
      <c r="E17" s="2" t="str">
        <f>_xlfn.XLOOKUP(Cat_SKU[[#This Row],[Item]],CAT_MOD_v31[NÚMERO DE ARTÍCULO (SAP)],CAT_MOD_v31[RESUMIDO],"",0)</f>
        <v>Avenger Cruise 220</v>
      </c>
      <c r="F17" s="2" t="str">
        <f>_xlfn.XLOOKUP(Cat_SKU[[#This Row],[Item]],CAT_MOD_v31[NÚMERO DE ARTÍCULO (SAP)],CAT_MOD_v31[COLOR],"",0)</f>
        <v>Negro</v>
      </c>
      <c r="G17" s="2">
        <f>_xlfn.XLOOKUP(Cat_SKU[[#This Row],[Item]],CAT_MOD_v31[NÚMERO DE ARTÍCULO (SAP)],CAT_MOD_v31[AÑO],"",0)</f>
        <v>2025</v>
      </c>
    </row>
    <row r="18" spans="1:7" x14ac:dyDescent="0.35">
      <c r="A18" t="s">
        <v>221</v>
      </c>
      <c r="B18" s="1">
        <v>2940385</v>
      </c>
      <c r="C18" t="s">
        <v>222</v>
      </c>
      <c r="D18" t="s">
        <v>256</v>
      </c>
      <c r="E18" s="2" t="str">
        <f>_xlfn.XLOOKUP(Cat_SKU[[#This Row],[Item]],CAT_MOD_v31[NÚMERO DE ARTÍCULO (SAP)],CAT_MOD_v31[RESUMIDO],"",0)</f>
        <v>Boxer BM150</v>
      </c>
      <c r="F18" s="2" t="str">
        <f>_xlfn.XLOOKUP(Cat_SKU[[#This Row],[Item]],CAT_MOD_v31[NÚMERO DE ARTÍCULO (SAP)],CAT_MOD_v31[COLOR],"",0)</f>
        <v>Blanco</v>
      </c>
      <c r="G18" s="2">
        <f>_xlfn.XLOOKUP(Cat_SKU[[#This Row],[Item]],CAT_MOD_v31[NÚMERO DE ARTÍCULO (SAP)],CAT_MOD_v31[AÑO],"",0)</f>
        <v>2025</v>
      </c>
    </row>
    <row r="19" spans="1:7" x14ac:dyDescent="0.35">
      <c r="A19" t="s">
        <v>221</v>
      </c>
      <c r="B19" s="1">
        <v>2940386</v>
      </c>
      <c r="C19" t="s">
        <v>223</v>
      </c>
      <c r="D19" t="s">
        <v>257</v>
      </c>
      <c r="E19" s="2" t="str">
        <f>_xlfn.XLOOKUP(Cat_SKU[[#This Row],[Item]],CAT_MOD_v31[NÚMERO DE ARTÍCULO (SAP)],CAT_MOD_v31[RESUMIDO],"",0)</f>
        <v>Boxer BM150</v>
      </c>
      <c r="F19" s="2" t="str">
        <f>_xlfn.XLOOKUP(Cat_SKU[[#This Row],[Item]],CAT_MOD_v31[NÚMERO DE ARTÍCULO (SAP)],CAT_MOD_v31[COLOR],"",0)</f>
        <v>Negro</v>
      </c>
      <c r="G19" s="2">
        <f>_xlfn.XLOOKUP(Cat_SKU[[#This Row],[Item]],CAT_MOD_v31[NÚMERO DE ARTÍCULO (SAP)],CAT_MOD_v31[AÑO],"",0)</f>
        <v>2025</v>
      </c>
    </row>
    <row r="20" spans="1:7" x14ac:dyDescent="0.35">
      <c r="A20" t="s">
        <v>221</v>
      </c>
      <c r="B20" s="1">
        <v>2940387</v>
      </c>
      <c r="C20" t="s">
        <v>224</v>
      </c>
      <c r="D20" t="s">
        <v>258</v>
      </c>
      <c r="E20" s="2" t="str">
        <f>_xlfn.XLOOKUP(Cat_SKU[[#This Row],[Item]],CAT_MOD_v31[NÚMERO DE ARTÍCULO (SAP)],CAT_MOD_v31[RESUMIDO],"",0)</f>
        <v>Dominar 400</v>
      </c>
      <c r="F20" s="2" t="str">
        <f>_xlfn.XLOOKUP(Cat_SKU[[#This Row],[Item]],CAT_MOD_v31[NÚMERO DE ARTÍCULO (SAP)],CAT_MOD_v31[COLOR],"",0)</f>
        <v>Negro</v>
      </c>
      <c r="G20" s="2">
        <f>_xlfn.XLOOKUP(Cat_SKU[[#This Row],[Item]],CAT_MOD_v31[NÚMERO DE ARTÍCULO (SAP)],CAT_MOD_v31[AÑO],"",0)</f>
        <v>2025</v>
      </c>
    </row>
    <row r="21" spans="1:7" x14ac:dyDescent="0.35">
      <c r="A21" t="s">
        <v>221</v>
      </c>
      <c r="B21" s="1">
        <v>2940388</v>
      </c>
      <c r="C21" t="s">
        <v>225</v>
      </c>
      <c r="D21" t="s">
        <v>259</v>
      </c>
      <c r="E21" s="2" t="str">
        <f>_xlfn.XLOOKUP(Cat_SKU[[#This Row],[Item]],CAT_MOD_v31[NÚMERO DE ARTÍCULO (SAP)],CAT_MOD_v31[RESUMIDO],"",0)</f>
        <v>Dominar 250</v>
      </c>
      <c r="F21" s="2" t="str">
        <f>_xlfn.XLOOKUP(Cat_SKU[[#This Row],[Item]],CAT_MOD_v31[NÚMERO DE ARTÍCULO (SAP)],CAT_MOD_v31[COLOR],"",0)</f>
        <v>Negro</v>
      </c>
      <c r="G21" s="2">
        <f>_xlfn.XLOOKUP(Cat_SKU[[#This Row],[Item]],CAT_MOD_v31[NÚMERO DE ARTÍCULO (SAP)],CAT_MOD_v31[AÑO],"",0)</f>
        <v>2025</v>
      </c>
    </row>
    <row r="22" spans="1:7" x14ac:dyDescent="0.35">
      <c r="A22" t="s">
        <v>221</v>
      </c>
      <c r="B22" s="1">
        <v>2940389</v>
      </c>
      <c r="C22" t="s">
        <v>226</v>
      </c>
      <c r="D22" t="s">
        <v>260</v>
      </c>
      <c r="E22" s="2" t="str">
        <f>_xlfn.XLOOKUP(Cat_SKU[[#This Row],[Item]],CAT_MOD_v31[NÚMERO DE ARTÍCULO (SAP)],CAT_MOD_v31[RESUMIDO],"",0)</f>
        <v>Dominar 250</v>
      </c>
      <c r="F22" s="2" t="str">
        <f>_xlfn.XLOOKUP(Cat_SKU[[#This Row],[Item]],CAT_MOD_v31[NÚMERO DE ARTÍCULO (SAP)],CAT_MOD_v31[COLOR],"",0)</f>
        <v>Rojo</v>
      </c>
      <c r="G22" s="2">
        <f>_xlfn.XLOOKUP(Cat_SKU[[#This Row],[Item]],CAT_MOD_v31[NÚMERO DE ARTÍCULO (SAP)],CAT_MOD_v31[AÑO],"",0)</f>
        <v>2025</v>
      </c>
    </row>
    <row r="23" spans="1:7" x14ac:dyDescent="0.35">
      <c r="A23" t="s">
        <v>221</v>
      </c>
      <c r="B23" s="1">
        <v>2940390</v>
      </c>
      <c r="C23" t="s">
        <v>227</v>
      </c>
      <c r="D23" t="s">
        <v>261</v>
      </c>
      <c r="E23" s="2" t="str">
        <f>_xlfn.XLOOKUP(Cat_SKU[[#This Row],[Item]],CAT_MOD_v31[NÚMERO DE ARTÍCULO (SAP)],CAT_MOD_v31[RESUMIDO],"",0)</f>
        <v>Dominar 400</v>
      </c>
      <c r="F23" s="2" t="str">
        <f>_xlfn.XLOOKUP(Cat_SKU[[#This Row],[Item]],CAT_MOD_v31[NÚMERO DE ARTÍCULO (SAP)],CAT_MOD_v31[COLOR],"",0)</f>
        <v>Verde</v>
      </c>
      <c r="G23" s="2">
        <f>_xlfn.XLOOKUP(Cat_SKU[[#This Row],[Item]],CAT_MOD_v31[NÚMERO DE ARTÍCULO (SAP)],CAT_MOD_v31[AÑO],"",0)</f>
        <v>2025</v>
      </c>
    </row>
    <row r="24" spans="1:7" x14ac:dyDescent="0.35">
      <c r="A24" t="s">
        <v>221</v>
      </c>
      <c r="B24" s="1">
        <v>2940391</v>
      </c>
      <c r="C24" t="s">
        <v>231</v>
      </c>
      <c r="D24" t="s">
        <v>265</v>
      </c>
      <c r="E24" s="2" t="str">
        <f>_xlfn.XLOOKUP(Cat_SKU[[#This Row],[Item]],CAT_MOD_v31[NÚMERO DE ARTÍCULO (SAP)],CAT_MOD_v31[RESUMIDO],"",0)</f>
        <v>Pulsar NS125 UG</v>
      </c>
      <c r="F24" s="2" t="str">
        <f>_xlfn.XLOOKUP(Cat_SKU[[#This Row],[Item]],CAT_MOD_v31[NÚMERO DE ARTÍCULO (SAP)],CAT_MOD_v31[COLOR],"",0)</f>
        <v>Gris</v>
      </c>
      <c r="G24" s="2">
        <f>_xlfn.XLOOKUP(Cat_SKU[[#This Row],[Item]],CAT_MOD_v31[NÚMERO DE ARTÍCULO (SAP)],CAT_MOD_v31[AÑO],"",0)</f>
        <v>2025</v>
      </c>
    </row>
    <row r="25" spans="1:7" x14ac:dyDescent="0.35">
      <c r="A25" t="s">
        <v>221</v>
      </c>
      <c r="B25" s="1">
        <v>2940392</v>
      </c>
      <c r="C25" t="s">
        <v>235</v>
      </c>
      <c r="D25" t="s">
        <v>269</v>
      </c>
      <c r="E25" s="2" t="str">
        <f>_xlfn.XLOOKUP(Cat_SKU[[#This Row],[Item]],CAT_MOD_v31[NÚMERO DE ARTÍCULO (SAP)],CAT_MOD_v31[RESUMIDO],"",0)</f>
        <v>Pulsar NS125 UG</v>
      </c>
      <c r="F25" s="2" t="str">
        <f>_xlfn.XLOOKUP(Cat_SKU[[#This Row],[Item]],CAT_MOD_v31[NÚMERO DE ARTÍCULO (SAP)],CAT_MOD_v31[COLOR],"",0)</f>
        <v>Naranja</v>
      </c>
      <c r="G25" s="2">
        <f>_xlfn.XLOOKUP(Cat_SKU[[#This Row],[Item]],CAT_MOD_v31[NÚMERO DE ARTÍCULO (SAP)],CAT_MOD_v31[AÑO],"",0)</f>
        <v>2025</v>
      </c>
    </row>
    <row r="26" spans="1:7" x14ac:dyDescent="0.35">
      <c r="A26" t="s">
        <v>221</v>
      </c>
      <c r="B26" s="1">
        <v>2940393</v>
      </c>
      <c r="C26" t="s">
        <v>232</v>
      </c>
      <c r="D26" t="s">
        <v>266</v>
      </c>
      <c r="E26" s="2" t="str">
        <f>_xlfn.XLOOKUP(Cat_SKU[[#This Row],[Item]],CAT_MOD_v31[NÚMERO DE ARTÍCULO (SAP)],CAT_MOD_v31[RESUMIDO],"",0)</f>
        <v>Pulsar NS160 UG</v>
      </c>
      <c r="F26" s="2" t="str">
        <f>_xlfn.XLOOKUP(Cat_SKU[[#This Row],[Item]],CAT_MOD_v31[NÚMERO DE ARTÍCULO (SAP)],CAT_MOD_v31[COLOR],"",0)</f>
        <v>Negro</v>
      </c>
      <c r="G26" s="2">
        <f>_xlfn.XLOOKUP(Cat_SKU[[#This Row],[Item]],CAT_MOD_v31[NÚMERO DE ARTÍCULO (SAP)],CAT_MOD_v31[AÑO],"",0)</f>
        <v>2025</v>
      </c>
    </row>
    <row r="27" spans="1:7" x14ac:dyDescent="0.35">
      <c r="A27" t="s">
        <v>221</v>
      </c>
      <c r="B27" s="1">
        <v>2940393</v>
      </c>
      <c r="C27" t="s">
        <v>777</v>
      </c>
      <c r="D27" t="s">
        <v>282</v>
      </c>
      <c r="E27" s="2" t="str">
        <f>_xlfn.XLOOKUP(Cat_SKU[[#This Row],[Item]],CAT_MOD_v31[NÚMERO DE ARTÍCULO (SAP)],CAT_MOD_v31[RESUMIDO],"",0)</f>
        <v>Pulsar NS160 UG</v>
      </c>
      <c r="F27" s="2" t="str">
        <f>_xlfn.XLOOKUP(Cat_SKU[[#This Row],[Item]],CAT_MOD_v31[NÚMERO DE ARTÍCULO (SAP)],CAT_MOD_v31[COLOR],"",0)</f>
        <v>Gris</v>
      </c>
      <c r="G27" s="2">
        <f>_xlfn.XLOOKUP(Cat_SKU[[#This Row],[Item]],CAT_MOD_v31[NÚMERO DE ARTÍCULO (SAP)],CAT_MOD_v31[AÑO],"",0)</f>
        <v>2025</v>
      </c>
    </row>
    <row r="28" spans="1:7" x14ac:dyDescent="0.35">
      <c r="A28" t="s">
        <v>221</v>
      </c>
      <c r="B28" s="1">
        <v>2940394</v>
      </c>
      <c r="C28" t="s">
        <v>234</v>
      </c>
      <c r="D28" t="s">
        <v>268</v>
      </c>
      <c r="E28" s="2" t="str">
        <f>_xlfn.XLOOKUP(Cat_SKU[[#This Row],[Item]],CAT_MOD_v31[NÚMERO DE ARTÍCULO (SAP)],CAT_MOD_v31[RESUMIDO],"",0)</f>
        <v>Pulsar N160 FI ABS</v>
      </c>
      <c r="F28" s="2" t="str">
        <f>_xlfn.XLOOKUP(Cat_SKU[[#This Row],[Item]],CAT_MOD_v31[NÚMERO DE ARTÍCULO (SAP)],CAT_MOD_v31[COLOR],"",0)</f>
        <v>Negro</v>
      </c>
      <c r="G28" s="2">
        <f>_xlfn.XLOOKUP(Cat_SKU[[#This Row],[Item]],CAT_MOD_v31[NÚMERO DE ARTÍCULO (SAP)],CAT_MOD_v31[AÑO],"",0)</f>
        <v>2025</v>
      </c>
    </row>
    <row r="29" spans="1:7" x14ac:dyDescent="0.35">
      <c r="A29" t="s">
        <v>221</v>
      </c>
      <c r="B29" s="1">
        <v>2940395</v>
      </c>
      <c r="C29" t="s">
        <v>233</v>
      </c>
      <c r="D29" t="s">
        <v>267</v>
      </c>
      <c r="E29" s="2" t="str">
        <f>_xlfn.XLOOKUP(Cat_SKU[[#This Row],[Item]],CAT_MOD_v31[NÚMERO DE ARTÍCULO (SAP)],CAT_MOD_v31[RESUMIDO],"",0)</f>
        <v>Pulsar NS160 UG</v>
      </c>
      <c r="F29" s="2" t="str">
        <f>_xlfn.XLOOKUP(Cat_SKU[[#This Row],[Item]],CAT_MOD_v31[NÚMERO DE ARTÍCULO (SAP)],CAT_MOD_v31[COLOR],"",0)</f>
        <v>Perla</v>
      </c>
      <c r="G29" s="2">
        <f>_xlfn.XLOOKUP(Cat_SKU[[#This Row],[Item]],CAT_MOD_v31[NÚMERO DE ARTÍCULO (SAP)],CAT_MOD_v31[AÑO],"",0)</f>
        <v>2025</v>
      </c>
    </row>
    <row r="30" spans="1:7" x14ac:dyDescent="0.35">
      <c r="A30" t="s">
        <v>221</v>
      </c>
      <c r="B30" s="1">
        <v>2940396</v>
      </c>
      <c r="D30" t="s">
        <v>300</v>
      </c>
      <c r="E30" s="2" t="str">
        <f>_xlfn.XLOOKUP(Cat_SKU[[#This Row],[Item]],CAT_MOD_v31[NÚMERO DE ARTÍCULO (SAP)],CAT_MOD_v31[RESUMIDO],"",0)</f>
        <v>Pulsar N250 FI ABS</v>
      </c>
      <c r="F30" s="2" t="str">
        <f>_xlfn.XLOOKUP(Cat_SKU[[#This Row],[Item]],CAT_MOD_v31[NÚMERO DE ARTÍCULO (SAP)],CAT_MOD_v31[COLOR],"",0)</f>
        <v>Rojo</v>
      </c>
      <c r="G30" s="2">
        <f>_xlfn.XLOOKUP(Cat_SKU[[#This Row],[Item]],CAT_MOD_v31[NÚMERO DE ARTÍCULO (SAP)],CAT_MOD_v31[AÑO],"",0)</f>
        <v>2025</v>
      </c>
    </row>
    <row r="31" spans="1:7" x14ac:dyDescent="0.35">
      <c r="A31" t="s">
        <v>221</v>
      </c>
      <c r="B31" s="1">
        <v>2940416</v>
      </c>
      <c r="C31" t="s">
        <v>249</v>
      </c>
      <c r="D31" t="s">
        <v>282</v>
      </c>
      <c r="E31" s="2" t="str">
        <f>_xlfn.XLOOKUP(Cat_SKU[[#This Row],[Item]],CAT_MOD_v31[NÚMERO DE ARTÍCULO (SAP)],CAT_MOD_v31[RESUMIDO],"",0)</f>
        <v>Pulsar NS160 UG</v>
      </c>
      <c r="F31" s="2" t="str">
        <f>_xlfn.XLOOKUP(Cat_SKU[[#This Row],[Item]],CAT_MOD_v31[NÚMERO DE ARTÍCULO (SAP)],CAT_MOD_v31[COLOR],"",0)</f>
        <v>Gris</v>
      </c>
      <c r="G31" s="2">
        <f>_xlfn.XLOOKUP(Cat_SKU[[#This Row],[Item]],CAT_MOD_v31[NÚMERO DE ARTÍCULO (SAP)],CAT_MOD_v31[AÑO],"",0)</f>
        <v>2025</v>
      </c>
    </row>
    <row r="32" spans="1:7" x14ac:dyDescent="0.35">
      <c r="A32" t="s">
        <v>221</v>
      </c>
      <c r="B32" s="1">
        <v>2940417</v>
      </c>
      <c r="C32" t="s">
        <v>250</v>
      </c>
      <c r="D32" t="s">
        <v>283</v>
      </c>
      <c r="E32" s="2" t="str">
        <f>_xlfn.XLOOKUP(Cat_SKU[[#This Row],[Item]],CAT_MOD_v31[NÚMERO DE ARTÍCULO (SAP)],CAT_MOD_v31[RESUMIDO],"",0)</f>
        <v>Pulsar NS200 UG</v>
      </c>
      <c r="F32" s="2" t="str">
        <f>_xlfn.XLOOKUP(Cat_SKU[[#This Row],[Item]],CAT_MOD_v31[NÚMERO DE ARTÍCULO (SAP)],CAT_MOD_v31[COLOR],"",0)</f>
        <v>Gris</v>
      </c>
      <c r="G32" s="2">
        <f>_xlfn.XLOOKUP(Cat_SKU[[#This Row],[Item]],CAT_MOD_v31[NÚMERO DE ARTÍCULO (SAP)],CAT_MOD_v31[AÑO],"",0)</f>
        <v>2025</v>
      </c>
    </row>
    <row r="33" spans="1:7" x14ac:dyDescent="0.35">
      <c r="A33" t="s">
        <v>221</v>
      </c>
      <c r="B33" s="1">
        <v>2940418</v>
      </c>
      <c r="C33" t="s">
        <v>9</v>
      </c>
      <c r="D33" t="s">
        <v>284</v>
      </c>
      <c r="E33" s="2" t="str">
        <f>_xlfn.XLOOKUP(Cat_SKU[[#This Row],[Item]],CAT_MOD_v31[NÚMERO DE ARTÍCULO (SAP)],CAT_MOD_v31[RESUMIDO],"",0)</f>
        <v>Pulsar RS200</v>
      </c>
      <c r="F33" s="2" t="str">
        <f>_xlfn.XLOOKUP(Cat_SKU[[#This Row],[Item]],CAT_MOD_v31[NÚMERO DE ARTÍCULO (SAP)],CAT_MOD_v31[COLOR],"",0)</f>
        <v>Gris</v>
      </c>
      <c r="G33" s="2">
        <f>_xlfn.XLOOKUP(Cat_SKU[[#This Row],[Item]],CAT_MOD_v31[NÚMERO DE ARTÍCULO (SAP)],CAT_MOD_v31[AÑO],"",0)</f>
        <v>2025</v>
      </c>
    </row>
    <row r="34" spans="1:7" x14ac:dyDescent="0.35">
      <c r="A34" t="s">
        <v>221</v>
      </c>
      <c r="B34" s="1">
        <v>2940419</v>
      </c>
      <c r="D34" t="s">
        <v>268</v>
      </c>
      <c r="E34" s="2" t="str">
        <f>_xlfn.XLOOKUP(Cat_SKU[[#This Row],[Item]],CAT_MOD_v31[NÚMERO DE ARTÍCULO (SAP)],CAT_MOD_v31[RESUMIDO],"",0)</f>
        <v>Pulsar N160 FI ABS</v>
      </c>
      <c r="F34" s="2" t="str">
        <f>_xlfn.XLOOKUP(Cat_SKU[[#This Row],[Item]],CAT_MOD_v31[NÚMERO DE ARTÍCULO (SAP)],CAT_MOD_v31[COLOR],"",0)</f>
        <v>Negro</v>
      </c>
      <c r="G34" s="2">
        <f>_xlfn.XLOOKUP(Cat_SKU[[#This Row],[Item]],CAT_MOD_v31[NÚMERO DE ARTÍCULO (SAP)],CAT_MOD_v31[AÑO],"",0)</f>
        <v>2025</v>
      </c>
    </row>
    <row r="35" spans="1:7" x14ac:dyDescent="0.35">
      <c r="A35" t="s">
        <v>221</v>
      </c>
      <c r="B35" s="1">
        <v>2940420</v>
      </c>
      <c r="C35" t="s">
        <v>251</v>
      </c>
      <c r="D35" t="s">
        <v>285</v>
      </c>
      <c r="E35" s="2" t="str">
        <f>_xlfn.XLOOKUP(Cat_SKU[[#This Row],[Item]],CAT_MOD_v31[NÚMERO DE ARTÍCULO (SAP)],CAT_MOD_v31[RESUMIDO],"",0)</f>
        <v>Pulsar NS200 UG</v>
      </c>
      <c r="F35" s="2" t="str">
        <f>_xlfn.XLOOKUP(Cat_SKU[[#This Row],[Item]],CAT_MOD_v31[NÚMERO DE ARTÍCULO (SAP)],CAT_MOD_v31[COLOR],"",0)</f>
        <v>Negro</v>
      </c>
      <c r="G35" s="2">
        <f>_xlfn.XLOOKUP(Cat_SKU[[#This Row],[Item]],CAT_MOD_v31[NÚMERO DE ARTÍCULO (SAP)],CAT_MOD_v31[AÑO],"",0)</f>
        <v>2025</v>
      </c>
    </row>
    <row r="36" spans="1:7" x14ac:dyDescent="0.35">
      <c r="A36" t="s">
        <v>221</v>
      </c>
      <c r="B36" s="1">
        <v>2940421</v>
      </c>
      <c r="C36" t="s">
        <v>252</v>
      </c>
      <c r="D36" t="s">
        <v>274</v>
      </c>
      <c r="E36" s="2" t="str">
        <f>_xlfn.XLOOKUP(Cat_SKU[[#This Row],[Item]],CAT_MOD_v31[NÚMERO DE ARTÍCULO (SAP)],CAT_MOD_v31[RESUMIDO],"",0)</f>
        <v>Pulsar N250 FI ABS</v>
      </c>
      <c r="F36" s="2" t="str">
        <f>_xlfn.XLOOKUP(Cat_SKU[[#This Row],[Item]],CAT_MOD_v31[NÚMERO DE ARTÍCULO (SAP)],CAT_MOD_v31[COLOR],"",0)</f>
        <v>Negro</v>
      </c>
      <c r="G36" s="2">
        <f>_xlfn.XLOOKUP(Cat_SKU[[#This Row],[Item]],CAT_MOD_v31[NÚMERO DE ARTÍCULO (SAP)],CAT_MOD_v31[AÑO],"",0)</f>
        <v>2025</v>
      </c>
    </row>
    <row r="37" spans="1:7" x14ac:dyDescent="0.35">
      <c r="A37" t="s">
        <v>221</v>
      </c>
      <c r="B37" s="1">
        <v>2940422</v>
      </c>
      <c r="C37" t="s">
        <v>253</v>
      </c>
      <c r="D37" t="s">
        <v>286</v>
      </c>
      <c r="E37" s="2" t="str">
        <f>_xlfn.XLOOKUP(Cat_SKU[[#This Row],[Item]],CAT_MOD_v31[NÚMERO DE ARTÍCULO (SAP)],CAT_MOD_v31[RESUMIDO],"",0)</f>
        <v>Pulsar NS200 UG</v>
      </c>
      <c r="F37" s="2" t="str">
        <f>_xlfn.XLOOKUP(Cat_SKU[[#This Row],[Item]],CAT_MOD_v31[NÚMERO DE ARTÍCULO (SAP)],CAT_MOD_v31[COLOR],"",0)</f>
        <v>Perla</v>
      </c>
      <c r="G37" s="2">
        <f>_xlfn.XLOOKUP(Cat_SKU[[#This Row],[Item]],CAT_MOD_v31[NÚMERO DE ARTÍCULO (SAP)],CAT_MOD_v31[AÑO],"",0)</f>
        <v>2025</v>
      </c>
    </row>
    <row r="38" spans="1:7" x14ac:dyDescent="0.35">
      <c r="A38" t="s">
        <v>221</v>
      </c>
      <c r="B38" s="1">
        <v>2940427</v>
      </c>
      <c r="C38" t="s">
        <v>14</v>
      </c>
      <c r="D38" t="s">
        <v>287</v>
      </c>
      <c r="E38" s="2" t="str">
        <f>_xlfn.XLOOKUP(Cat_SKU[[#This Row],[Item]],CAT_MOD_v31[NÚMERO DE ARTÍCULO (SAP)],CAT_MOD_v31[RESUMIDO],"",0)</f>
        <v>Pulsar RS200</v>
      </c>
      <c r="F38" s="2" t="str">
        <f>_xlfn.XLOOKUP(Cat_SKU[[#This Row],[Item]],CAT_MOD_v31[NÚMERO DE ARTÍCULO (SAP)],CAT_MOD_v31[COLOR],"",0)</f>
        <v>Perla</v>
      </c>
      <c r="G38" s="2">
        <f>_xlfn.XLOOKUP(Cat_SKU[[#This Row],[Item]],CAT_MOD_v31[NÚMERO DE ARTÍCULO (SAP)],CAT_MOD_v31[AÑO],"",0)</f>
        <v>2025</v>
      </c>
    </row>
    <row r="39" spans="1:7" x14ac:dyDescent="0.35">
      <c r="A39" t="s">
        <v>221</v>
      </c>
      <c r="B39" s="1">
        <v>2952562</v>
      </c>
      <c r="D39" t="s">
        <v>304</v>
      </c>
      <c r="E39" s="2" t="str">
        <f>_xlfn.XLOOKUP(Cat_SKU[[#This Row],[Item]],CAT_MOD_v31[NÚMERO DE ARTÍCULO (SAP)],CAT_MOD_v31[RESUMIDO],"",0)</f>
        <v>Pulsar N160</v>
      </c>
      <c r="F39" s="2" t="str">
        <f>_xlfn.XLOOKUP(Cat_SKU[[#This Row],[Item]],CAT_MOD_v31[NÚMERO DE ARTÍCULO (SAP)],CAT_MOD_v31[COLOR],"",0)</f>
        <v>Negro</v>
      </c>
      <c r="G39" s="2">
        <f>_xlfn.XLOOKUP(Cat_SKU[[#This Row],[Item]],CAT_MOD_v31[NÚMERO DE ARTÍCULO (SAP)],CAT_MOD_v31[AÑO],"",0)</f>
        <v>2025</v>
      </c>
    </row>
    <row r="40" spans="1:7" x14ac:dyDescent="0.35">
      <c r="A40" t="s">
        <v>221</v>
      </c>
      <c r="B40" s="1">
        <v>2952563</v>
      </c>
      <c r="C40" t="s">
        <v>240</v>
      </c>
      <c r="D40" t="s">
        <v>273</v>
      </c>
      <c r="E40" s="2" t="str">
        <f>_xlfn.XLOOKUP(Cat_SKU[[#This Row],[Item]],CAT_MOD_v31[NÚMERO DE ARTÍCULO (SAP)],CAT_MOD_v31[RESUMIDO],"",0)</f>
        <v>Pulsar N250</v>
      </c>
      <c r="F40" s="2" t="str">
        <f>_xlfn.XLOOKUP(Cat_SKU[[#This Row],[Item]],CAT_MOD_v31[NÚMERO DE ARTÍCULO (SAP)],CAT_MOD_v31[COLOR],"",0)</f>
        <v>Negro</v>
      </c>
      <c r="G40" s="2">
        <f>_xlfn.XLOOKUP(Cat_SKU[[#This Row],[Item]],CAT_MOD_v31[NÚMERO DE ARTÍCULO (SAP)],CAT_MOD_v31[AÑO],"",0)</f>
        <v>2025</v>
      </c>
    </row>
    <row r="41" spans="1:7" x14ac:dyDescent="0.35">
      <c r="A41" t="s">
        <v>221</v>
      </c>
      <c r="B41" s="1">
        <v>2959237</v>
      </c>
      <c r="C41" t="s">
        <v>247</v>
      </c>
      <c r="D41" t="s">
        <v>280</v>
      </c>
      <c r="E41" s="2" t="str">
        <f>_xlfn.XLOOKUP(Cat_SKU[[#This Row],[Item]],CAT_MOD_v31[NÚMERO DE ARTÍCULO (SAP)],CAT_MOD_v31[RESUMIDO],"",0)</f>
        <v>Pulsar NS400z</v>
      </c>
      <c r="F41" s="2" t="str">
        <f>_xlfn.XLOOKUP(Cat_SKU[[#This Row],[Item]],CAT_MOD_v31[NÚMERO DE ARTÍCULO (SAP)],CAT_MOD_v31[COLOR],"",0)</f>
        <v>Gris</v>
      </c>
      <c r="G41" s="2">
        <f>_xlfn.XLOOKUP(Cat_SKU[[#This Row],[Item]],CAT_MOD_v31[NÚMERO DE ARTÍCULO (SAP)],CAT_MOD_v31[AÑO],"",0)</f>
        <v>2025</v>
      </c>
    </row>
    <row r="42" spans="1:7" x14ac:dyDescent="0.35">
      <c r="A42" t="s">
        <v>221</v>
      </c>
      <c r="B42" s="1">
        <v>2959238</v>
      </c>
      <c r="C42" t="s">
        <v>245</v>
      </c>
      <c r="D42" t="s">
        <v>278</v>
      </c>
      <c r="E42" s="2" t="str">
        <f>_xlfn.XLOOKUP(Cat_SKU[[#This Row],[Item]],CAT_MOD_v31[NÚMERO DE ARTÍCULO (SAP)],CAT_MOD_v31[RESUMIDO],"",0)</f>
        <v>Pulsar NS400z</v>
      </c>
      <c r="F42" s="2" t="str">
        <f>_xlfn.XLOOKUP(Cat_SKU[[#This Row],[Item]],CAT_MOD_v31[NÚMERO DE ARTÍCULO (SAP)],CAT_MOD_v31[COLOR],"",0)</f>
        <v>Negro</v>
      </c>
      <c r="G42" s="2">
        <f>_xlfn.XLOOKUP(Cat_SKU[[#This Row],[Item]],CAT_MOD_v31[NÚMERO DE ARTÍCULO (SAP)],CAT_MOD_v31[AÑO],"",0)</f>
        <v>2025</v>
      </c>
    </row>
    <row r="43" spans="1:7" x14ac:dyDescent="0.35">
      <c r="A43" t="s">
        <v>221</v>
      </c>
      <c r="B43" s="1">
        <v>2959240</v>
      </c>
      <c r="C43" t="s">
        <v>246</v>
      </c>
      <c r="D43" t="s">
        <v>279</v>
      </c>
      <c r="E43" s="2" t="str">
        <f>_xlfn.XLOOKUP(Cat_SKU[[#This Row],[Item]],CAT_MOD_v31[NÚMERO DE ARTÍCULO (SAP)],CAT_MOD_v31[RESUMIDO],"",0)</f>
        <v>Pulsar NS400z</v>
      </c>
      <c r="F43" s="2" t="str">
        <f>_xlfn.XLOOKUP(Cat_SKU[[#This Row],[Item]],CAT_MOD_v31[NÚMERO DE ARTÍCULO (SAP)],CAT_MOD_v31[COLOR],"",0)</f>
        <v>Rojo</v>
      </c>
      <c r="G43" s="2">
        <f>_xlfn.XLOOKUP(Cat_SKU[[#This Row],[Item]],CAT_MOD_v31[NÚMERO DE ARTÍCULO (SAP)],CAT_MOD_v31[AÑO],"",0)</f>
        <v>2025</v>
      </c>
    </row>
    <row r="44" spans="1:7" x14ac:dyDescent="0.35">
      <c r="A44" t="s">
        <v>221</v>
      </c>
      <c r="B44" s="1">
        <v>2959240</v>
      </c>
      <c r="C44" t="s">
        <v>787</v>
      </c>
      <c r="D44" t="s">
        <v>808</v>
      </c>
      <c r="E44" s="2" t="str">
        <f>_xlfn.XLOOKUP(Cat_SKU[[#This Row],[Item]],CAT_MOD_v31[NÚMERO DE ARTÍCULO (SAP)],CAT_MOD_v31[RESUMIDO],"",0)</f>
        <v>Pulsar NS400z</v>
      </c>
      <c r="F44" s="2" t="str">
        <f>_xlfn.XLOOKUP(Cat_SKU[[#This Row],[Item]],CAT_MOD_v31[NÚMERO DE ARTÍCULO (SAP)],CAT_MOD_v31[COLOR],"",0)</f>
        <v>Negro</v>
      </c>
      <c r="G44" s="2">
        <f>_xlfn.XLOOKUP(Cat_SKU[[#This Row],[Item]],CAT_MOD_v31[NÚMERO DE ARTÍCULO (SAP)],CAT_MOD_v31[AÑO],"",0)</f>
        <v>2025</v>
      </c>
    </row>
    <row r="45" spans="1:7" x14ac:dyDescent="0.35">
      <c r="A45" t="s">
        <v>221</v>
      </c>
      <c r="B45" s="1">
        <v>2959878</v>
      </c>
      <c r="C45" t="s">
        <v>243</v>
      </c>
      <c r="D45" t="s">
        <v>276</v>
      </c>
      <c r="E45" s="2" t="str">
        <f>_xlfn.XLOOKUP(Cat_SKU[[#This Row],[Item]],CAT_MOD_v31[NÚMERO DE ARTÍCULO (SAP)],CAT_MOD_v31[RESUMIDO],"",0)</f>
        <v>Pulsar N250</v>
      </c>
      <c r="F45" s="2" t="str">
        <f>_xlfn.XLOOKUP(Cat_SKU[[#This Row],[Item]],CAT_MOD_v31[NÚMERO DE ARTÍCULO (SAP)],CAT_MOD_v31[COLOR],"",0)</f>
        <v>Amarillo</v>
      </c>
      <c r="G45" s="2">
        <f>_xlfn.XLOOKUP(Cat_SKU[[#This Row],[Item]],CAT_MOD_v31[NÚMERO DE ARTÍCULO (SAP)],CAT_MOD_v31[AÑO],"",0)</f>
        <v>2025</v>
      </c>
    </row>
    <row r="46" spans="1:7" x14ac:dyDescent="0.35">
      <c r="A46" t="s">
        <v>221</v>
      </c>
      <c r="B46" s="1">
        <v>2959879</v>
      </c>
      <c r="C46" t="s">
        <v>242</v>
      </c>
      <c r="D46" t="s">
        <v>275</v>
      </c>
      <c r="E46" s="2" t="str">
        <f>_xlfn.XLOOKUP(Cat_SKU[[#This Row],[Item]],CAT_MOD_v31[NÚMERO DE ARTÍCULO (SAP)],CAT_MOD_v31[RESUMIDO],"",0)</f>
        <v>Pulsar N250</v>
      </c>
      <c r="F46" s="2" t="str">
        <f>_xlfn.XLOOKUP(Cat_SKU[[#This Row],[Item]],CAT_MOD_v31[NÚMERO DE ARTÍCULO (SAP)],CAT_MOD_v31[COLOR],"",0)</f>
        <v>Azul</v>
      </c>
      <c r="G46" s="2">
        <f>_xlfn.XLOOKUP(Cat_SKU[[#This Row],[Item]],CAT_MOD_v31[NÚMERO DE ARTÍCULO (SAP)],CAT_MOD_v31[AÑO],"",0)</f>
        <v>2025</v>
      </c>
    </row>
    <row r="47" spans="1:7" x14ac:dyDescent="0.35">
      <c r="A47" t="s">
        <v>221</v>
      </c>
      <c r="B47" s="1">
        <v>2985350</v>
      </c>
      <c r="C47" t="s">
        <v>237</v>
      </c>
      <c r="D47" t="s">
        <v>268</v>
      </c>
      <c r="E47" s="2" t="str">
        <f>_xlfn.XLOOKUP(Cat_SKU[[#This Row],[Item]],CAT_MOD_v31[NÚMERO DE ARTÍCULO (SAP)],CAT_MOD_v31[RESUMIDO],"",0)</f>
        <v>Pulsar N160 FI ABS</v>
      </c>
      <c r="F47" s="2" t="str">
        <f>_xlfn.XLOOKUP(Cat_SKU[[#This Row],[Item]],CAT_MOD_v31[NÚMERO DE ARTÍCULO (SAP)],CAT_MOD_v31[COLOR],"",0)</f>
        <v>Negro</v>
      </c>
      <c r="G47" s="2">
        <f>_xlfn.XLOOKUP(Cat_SKU[[#This Row],[Item]],CAT_MOD_v31[NÚMERO DE ARTÍCULO (SAP)],CAT_MOD_v31[AÑO],"",0)</f>
        <v>2025</v>
      </c>
    </row>
    <row r="48" spans="1:7" x14ac:dyDescent="0.35">
      <c r="A48" t="s">
        <v>221</v>
      </c>
      <c r="B48" s="1">
        <v>2985350</v>
      </c>
      <c r="C48" t="s">
        <v>237</v>
      </c>
      <c r="D48" t="s">
        <v>358</v>
      </c>
      <c r="E48" s="2" t="str">
        <f>_xlfn.XLOOKUP(Cat_SKU[[#This Row],[Item]],CAT_MOD_v31[NÚMERO DE ARTÍCULO (SAP)],CAT_MOD_v31[RESUMIDO],"",0)</f>
        <v>Pulsar N160 FI ABS UG</v>
      </c>
      <c r="F48" s="2" t="str">
        <f>_xlfn.XLOOKUP(Cat_SKU[[#This Row],[Item]],CAT_MOD_v31[NÚMERO DE ARTÍCULO (SAP)],CAT_MOD_v31[COLOR],"",0)</f>
        <v>Negro</v>
      </c>
      <c r="G48" s="2">
        <f>_xlfn.XLOOKUP(Cat_SKU[[#This Row],[Item]],CAT_MOD_v31[NÚMERO DE ARTÍCULO (SAP)],CAT_MOD_v31[AÑO],"",0)</f>
        <v>2025</v>
      </c>
    </row>
    <row r="49" spans="1:7" x14ac:dyDescent="0.35">
      <c r="A49" t="s">
        <v>221</v>
      </c>
      <c r="B49" s="1">
        <v>2985351</v>
      </c>
      <c r="C49" t="s">
        <v>241</v>
      </c>
      <c r="D49" t="s">
        <v>274</v>
      </c>
      <c r="E49" s="2" t="str">
        <f>_xlfn.XLOOKUP(Cat_SKU[[#This Row],[Item]],CAT_MOD_v31[NÚMERO DE ARTÍCULO (SAP)],CAT_MOD_v31[RESUMIDO],"",0)</f>
        <v>Pulsar N250 FI ABS</v>
      </c>
      <c r="F49" s="2" t="str">
        <f>_xlfn.XLOOKUP(Cat_SKU[[#This Row],[Item]],CAT_MOD_v31[NÚMERO DE ARTÍCULO (SAP)],CAT_MOD_v31[COLOR],"",0)</f>
        <v>Negro</v>
      </c>
      <c r="G49" s="2">
        <f>_xlfn.XLOOKUP(Cat_SKU[[#This Row],[Item]],CAT_MOD_v31[NÚMERO DE ARTÍCULO (SAP)],CAT_MOD_v31[AÑO],"",0)</f>
        <v>2025</v>
      </c>
    </row>
    <row r="50" spans="1:7" x14ac:dyDescent="0.35">
      <c r="A50" t="s">
        <v>221</v>
      </c>
      <c r="B50" s="1">
        <v>2985351</v>
      </c>
      <c r="C50" t="s">
        <v>241</v>
      </c>
      <c r="D50" t="s">
        <v>359</v>
      </c>
      <c r="E50" s="2" t="str">
        <f>_xlfn.XLOOKUP(Cat_SKU[[#This Row],[Item]],CAT_MOD_v31[NÚMERO DE ARTÍCULO (SAP)],CAT_MOD_v31[RESUMIDO],"",0)</f>
        <v>Pulsar N250 FI ABS UG</v>
      </c>
      <c r="F50" s="2" t="str">
        <f>_xlfn.XLOOKUP(Cat_SKU[[#This Row],[Item]],CAT_MOD_v31[NÚMERO DE ARTÍCULO (SAP)],CAT_MOD_v31[COLOR],"",0)</f>
        <v>Negro</v>
      </c>
      <c r="G50" s="2">
        <f>_xlfn.XLOOKUP(Cat_SKU[[#This Row],[Item]],CAT_MOD_v31[NÚMERO DE ARTÍCULO (SAP)],CAT_MOD_v31[AÑO],"",0)</f>
        <v>2025</v>
      </c>
    </row>
    <row r="51" spans="1:7" x14ac:dyDescent="0.35">
      <c r="A51" t="s">
        <v>221</v>
      </c>
      <c r="B51" s="1">
        <v>2985353</v>
      </c>
      <c r="C51" t="s">
        <v>239</v>
      </c>
      <c r="D51" t="s">
        <v>272</v>
      </c>
      <c r="E51" s="2" t="str">
        <f>_xlfn.XLOOKUP(Cat_SKU[[#This Row],[Item]],CAT_MOD_v31[NÚMERO DE ARTÍCULO (SAP)],CAT_MOD_v31[RESUMIDO],"",0)</f>
        <v>Pulsar N250 FI ABS UG</v>
      </c>
      <c r="F51" s="2" t="str">
        <f>_xlfn.XLOOKUP(Cat_SKU[[#This Row],[Item]],CAT_MOD_v31[NÚMERO DE ARTÍCULO (SAP)],CAT_MOD_v31[COLOR],"",0)</f>
        <v>Rojo</v>
      </c>
      <c r="G51" s="2">
        <f>_xlfn.XLOOKUP(Cat_SKU[[#This Row],[Item]],CAT_MOD_v31[NÚMERO DE ARTÍCULO (SAP)],CAT_MOD_v31[AÑO],"",0)</f>
        <v>2025</v>
      </c>
    </row>
    <row r="52" spans="1:7" x14ac:dyDescent="0.35">
      <c r="A52" t="s">
        <v>221</v>
      </c>
      <c r="B52" s="1">
        <v>2995284</v>
      </c>
      <c r="D52" t="s">
        <v>305</v>
      </c>
      <c r="E52" s="2" t="str">
        <f>_xlfn.XLOOKUP(Cat_SKU[[#This Row],[Item]],CAT_MOD_v31[NÚMERO DE ARTÍCULO (SAP)],CAT_MOD_v31[RESUMIDO],"",0)</f>
        <v>Pulsar N250</v>
      </c>
      <c r="F52" s="2" t="str">
        <f>_xlfn.XLOOKUP(Cat_SKU[[#This Row],[Item]],CAT_MOD_v31[NÚMERO DE ARTÍCULO (SAP)],CAT_MOD_v31[COLOR],"",0)</f>
        <v>Negro</v>
      </c>
      <c r="G52" s="2">
        <f>_xlfn.XLOOKUP(Cat_SKU[[#This Row],[Item]],CAT_MOD_v31[NÚMERO DE ARTÍCULO (SAP)],CAT_MOD_v31[AÑO],"",0)</f>
        <v>2026</v>
      </c>
    </row>
    <row r="53" spans="1:7" x14ac:dyDescent="0.35">
      <c r="A53" t="s">
        <v>221</v>
      </c>
      <c r="B53" s="1">
        <v>2995285</v>
      </c>
      <c r="C53" t="s">
        <v>236</v>
      </c>
      <c r="D53" t="s">
        <v>270</v>
      </c>
      <c r="E53" s="2" t="str">
        <f>_xlfn.XLOOKUP(Cat_SKU[[#This Row],[Item]],CAT_MOD_v31[NÚMERO DE ARTÍCULO (SAP)],CAT_MOD_v31[RESUMIDO],"",0)</f>
        <v>Pulsar N250 FI ABS</v>
      </c>
      <c r="F53" s="2" t="str">
        <f>_xlfn.XLOOKUP(Cat_SKU[[#This Row],[Item]],CAT_MOD_v31[NÚMERO DE ARTÍCULO (SAP)],CAT_MOD_v31[COLOR],"",0)</f>
        <v>Negro</v>
      </c>
      <c r="G53" s="2">
        <f>_xlfn.XLOOKUP(Cat_SKU[[#This Row],[Item]],CAT_MOD_v31[NÚMERO DE ARTÍCULO (SAP)],CAT_MOD_v31[AÑO],"",0)</f>
        <v>2026</v>
      </c>
    </row>
    <row r="54" spans="1:7" x14ac:dyDescent="0.35">
      <c r="A54" t="s">
        <v>221</v>
      </c>
      <c r="B54" s="1">
        <v>2995286</v>
      </c>
      <c r="C54" t="s">
        <v>238</v>
      </c>
      <c r="D54" t="s">
        <v>271</v>
      </c>
      <c r="E54" s="2" t="str">
        <f>_xlfn.XLOOKUP(Cat_SKU[[#This Row],[Item]],CAT_MOD_v31[NÚMERO DE ARTÍCULO (SAP)],CAT_MOD_v31[RESUMIDO],"",0)</f>
        <v>Pulsar N160</v>
      </c>
      <c r="F54" s="2" t="str">
        <f>_xlfn.XLOOKUP(Cat_SKU[[#This Row],[Item]],CAT_MOD_v31[NÚMERO DE ARTÍCULO (SAP)],CAT_MOD_v31[COLOR],"",0)</f>
        <v>Negro</v>
      </c>
      <c r="G54" s="2">
        <f>_xlfn.XLOOKUP(Cat_SKU[[#This Row],[Item]],CAT_MOD_v31[NÚMERO DE ARTÍCULO (SAP)],CAT_MOD_v31[AÑO],"",0)</f>
        <v>2026</v>
      </c>
    </row>
    <row r="55" spans="1:7" x14ac:dyDescent="0.35">
      <c r="A55" t="s">
        <v>221</v>
      </c>
      <c r="B55" s="1">
        <v>3003598</v>
      </c>
      <c r="C55" t="s">
        <v>230</v>
      </c>
      <c r="D55" t="s">
        <v>264</v>
      </c>
      <c r="E55" s="2" t="str">
        <f>_xlfn.XLOOKUP(Cat_SKU[[#This Row],[Item]],CAT_MOD_v31[NÚMERO DE ARTÍCULO (SAP)],CAT_MOD_v31[RESUMIDO],"",0)</f>
        <v>Pulsar NS125 UG</v>
      </c>
      <c r="F55" s="2" t="str">
        <f>_xlfn.XLOOKUP(Cat_SKU[[#This Row],[Item]],CAT_MOD_v31[NÚMERO DE ARTÍCULO (SAP)],CAT_MOD_v31[COLOR],"",0)</f>
        <v>Naranja</v>
      </c>
      <c r="G55" s="2">
        <f>_xlfn.XLOOKUP(Cat_SKU[[#This Row],[Item]],CAT_MOD_v31[NÚMERO DE ARTÍCULO (SAP)],CAT_MOD_v31[AÑO],"",0)</f>
        <v>2026</v>
      </c>
    </row>
    <row r="56" spans="1:7" x14ac:dyDescent="0.35">
      <c r="A56" t="s">
        <v>221</v>
      </c>
      <c r="B56" s="1">
        <v>3003598</v>
      </c>
      <c r="C56" t="s">
        <v>230</v>
      </c>
      <c r="D56" t="s">
        <v>361</v>
      </c>
      <c r="E56" s="2" t="str">
        <f>_xlfn.XLOOKUP(Cat_SKU[[#This Row],[Item]],CAT_MOD_v31[NÚMERO DE ARTÍCULO (SAP)],CAT_MOD_v31[RESUMIDO],"",0)</f>
        <v>Pulsar N125 FI-CBS</v>
      </c>
      <c r="F56" s="2" t="str">
        <f>_xlfn.XLOOKUP(Cat_SKU[[#This Row],[Item]],CAT_MOD_v31[NÚMERO DE ARTÍCULO (SAP)],CAT_MOD_v31[COLOR],"",0)</f>
        <v>Citrus</v>
      </c>
      <c r="G56" s="2">
        <f>_xlfn.XLOOKUP(Cat_SKU[[#This Row],[Item]],CAT_MOD_v31[NÚMERO DE ARTÍCULO (SAP)],CAT_MOD_v31[AÑO],"",0)</f>
        <v>2026</v>
      </c>
    </row>
    <row r="57" spans="1:7" x14ac:dyDescent="0.35">
      <c r="A57" t="s">
        <v>221</v>
      </c>
      <c r="B57" s="1">
        <v>3003599</v>
      </c>
      <c r="C57" t="s">
        <v>228</v>
      </c>
      <c r="D57" t="s">
        <v>262</v>
      </c>
      <c r="E57" s="2" t="str">
        <f>_xlfn.XLOOKUP(Cat_SKU[[#This Row],[Item]],CAT_MOD_v31[NÚMERO DE ARTÍCULO (SAP)],CAT_MOD_v31[RESUMIDO],"",0)</f>
        <v>Pulsar N125 FI-CBS</v>
      </c>
      <c r="F57" s="2" t="str">
        <f>_xlfn.XLOOKUP(Cat_SKU[[#This Row],[Item]],CAT_MOD_v31[NÚMERO DE ARTÍCULO (SAP)],CAT_MOD_v31[COLOR],"",0)</f>
        <v>Purpura</v>
      </c>
      <c r="G57" s="2">
        <f>_xlfn.XLOOKUP(Cat_SKU[[#This Row],[Item]],CAT_MOD_v31[NÚMERO DE ARTÍCULO (SAP)],CAT_MOD_v31[AÑO],"",0)</f>
        <v>2026</v>
      </c>
    </row>
    <row r="58" spans="1:7" x14ac:dyDescent="0.35">
      <c r="A58" t="s">
        <v>221</v>
      </c>
      <c r="B58" s="1">
        <v>3003600</v>
      </c>
      <c r="C58" t="s">
        <v>229</v>
      </c>
      <c r="D58" t="s">
        <v>263</v>
      </c>
      <c r="E58" s="2" t="str">
        <f>_xlfn.XLOOKUP(Cat_SKU[[#This Row],[Item]],CAT_MOD_v31[NÚMERO DE ARTÍCULO (SAP)],CAT_MOD_v31[RESUMIDO],"",0)</f>
        <v>Pulsar N125 FI-CBS</v>
      </c>
      <c r="F58" s="2" t="str">
        <f>_xlfn.XLOOKUP(Cat_SKU[[#This Row],[Item]],CAT_MOD_v31[NÚMERO DE ARTÍCULO (SAP)],CAT_MOD_v31[COLOR],"",0)</f>
        <v>Rojo</v>
      </c>
      <c r="G58" s="2">
        <f>_xlfn.XLOOKUP(Cat_SKU[[#This Row],[Item]],CAT_MOD_v31[NÚMERO DE ARTÍCULO (SAP)],CAT_MOD_v31[AÑO],"",0)</f>
        <v>2026</v>
      </c>
    </row>
    <row r="59" spans="1:7" x14ac:dyDescent="0.35">
      <c r="A59" t="s">
        <v>221</v>
      </c>
      <c r="B59" s="1">
        <v>3003606</v>
      </c>
      <c r="C59" t="s">
        <v>254</v>
      </c>
      <c r="D59" t="s">
        <v>311</v>
      </c>
      <c r="E59" s="2" t="str">
        <f>_xlfn.XLOOKUP(Cat_SKU[[#This Row],[Item]],CAT_MOD_v31[NÚMERO DE ARTÍCULO (SAP)],CAT_MOD_v31[RESUMIDO],"",0)</f>
        <v>Pulsar NS160 UG</v>
      </c>
      <c r="F59" s="2" t="str">
        <f>_xlfn.XLOOKUP(Cat_SKU[[#This Row],[Item]],CAT_MOD_v31[NÚMERO DE ARTÍCULO (SAP)],CAT_MOD_v31[COLOR],"",0)</f>
        <v>Perla</v>
      </c>
      <c r="G59" s="2">
        <f>_xlfn.XLOOKUP(Cat_SKU[[#This Row],[Item]],CAT_MOD_v31[NÚMERO DE ARTÍCULO (SAP)],CAT_MOD_v31[AÑO],"",0)</f>
        <v>2026</v>
      </c>
    </row>
    <row r="60" spans="1:7" x14ac:dyDescent="0.35">
      <c r="A60" t="s">
        <v>221</v>
      </c>
      <c r="B60" s="1">
        <v>3003606</v>
      </c>
      <c r="C60" t="s">
        <v>254</v>
      </c>
      <c r="D60" t="s">
        <v>747</v>
      </c>
      <c r="E60" s="2" t="str">
        <f>_xlfn.XLOOKUP(Cat_SKU[[#This Row],[Item]],CAT_MOD_v31[NÚMERO DE ARTÍCULO (SAP)],CAT_MOD_v31[RESUMIDO],"",0)</f>
        <v>Pulsar NS160</v>
      </c>
      <c r="F60" s="2" t="str">
        <f>_xlfn.XLOOKUP(Cat_SKU[[#This Row],[Item]],CAT_MOD_v31[NÚMERO DE ARTÍCULO (SAP)],CAT_MOD_v31[COLOR],"",0)</f>
        <v>Perla</v>
      </c>
      <c r="G60" s="2">
        <f>_xlfn.XLOOKUP(Cat_SKU[[#This Row],[Item]],CAT_MOD_v31[NÚMERO DE ARTÍCULO (SAP)],CAT_MOD_v31[AÑO],"",0)</f>
        <v>2026</v>
      </c>
    </row>
    <row r="61" spans="1:7" x14ac:dyDescent="0.35">
      <c r="A61" t="s">
        <v>221</v>
      </c>
      <c r="B61" s="1">
        <v>3009269</v>
      </c>
      <c r="D61" t="s">
        <v>310</v>
      </c>
      <c r="E61" s="2" t="str">
        <f>_xlfn.XLOOKUP(Cat_SKU[[#This Row],[Item]],CAT_MOD_v31[NÚMERO DE ARTÍCULO (SAP)],CAT_MOD_v31[RESUMIDO],"",0)</f>
        <v>Pulsar NS160 UG</v>
      </c>
      <c r="F61" s="2" t="str">
        <f>_xlfn.XLOOKUP(Cat_SKU[[#This Row],[Item]],CAT_MOD_v31[NÚMERO DE ARTÍCULO (SAP)],CAT_MOD_v31[COLOR],"",0)</f>
        <v>Gris</v>
      </c>
      <c r="G61" s="2">
        <f>_xlfn.XLOOKUP(Cat_SKU[[#This Row],[Item]],CAT_MOD_v31[NÚMERO DE ARTÍCULO (SAP)],CAT_MOD_v31[AÑO],"",0)</f>
        <v>2026</v>
      </c>
    </row>
    <row r="62" spans="1:7" x14ac:dyDescent="0.35">
      <c r="A62" t="s">
        <v>221</v>
      </c>
      <c r="B62" s="1">
        <v>3009269</v>
      </c>
      <c r="C62" t="s">
        <v>806</v>
      </c>
      <c r="D62" t="s">
        <v>311</v>
      </c>
      <c r="E62" s="2" t="str">
        <f>_xlfn.XLOOKUP(Cat_SKU[[#This Row],[Item]],CAT_MOD_v31[NÚMERO DE ARTÍCULO (SAP)],CAT_MOD_v31[RESUMIDO],"",0)</f>
        <v>Pulsar NS160 UG</v>
      </c>
      <c r="F62" s="2" t="str">
        <f>_xlfn.XLOOKUP(Cat_SKU[[#This Row],[Item]],CAT_MOD_v31[NÚMERO DE ARTÍCULO (SAP)],CAT_MOD_v31[COLOR],"",0)</f>
        <v>Perla</v>
      </c>
      <c r="G62" s="2">
        <f>_xlfn.XLOOKUP(Cat_SKU[[#This Row],[Item]],CAT_MOD_v31[NÚMERO DE ARTÍCULO (SAP)],CAT_MOD_v31[AÑO],"",0)</f>
        <v>2026</v>
      </c>
    </row>
    <row r="63" spans="1:7" x14ac:dyDescent="0.35">
      <c r="A63" t="s">
        <v>221</v>
      </c>
      <c r="B63" s="1">
        <v>3009470</v>
      </c>
      <c r="C63" t="s">
        <v>248</v>
      </c>
      <c r="D63" t="s">
        <v>281</v>
      </c>
      <c r="E63" s="2" t="str">
        <f>_xlfn.XLOOKUP(Cat_SKU[[#This Row],[Item]],CAT_MOD_v31[NÚMERO DE ARTÍCULO (SAP)],CAT_MOD_v31[RESUMIDO],"",0)</f>
        <v>Pulsar NS400z</v>
      </c>
      <c r="F63" s="2" t="str">
        <f>_xlfn.XLOOKUP(Cat_SKU[[#This Row],[Item]],CAT_MOD_v31[NÚMERO DE ARTÍCULO (SAP)],CAT_MOD_v31[COLOR],"",0)</f>
        <v>Perla</v>
      </c>
      <c r="G63" s="2">
        <f>_xlfn.XLOOKUP(Cat_SKU[[#This Row],[Item]],CAT_MOD_v31[NÚMERO DE ARTÍCULO (SAP)],CAT_MOD_v31[AÑO],"",0)</f>
        <v>2025</v>
      </c>
    </row>
    <row r="64" spans="1:7" x14ac:dyDescent="0.35">
      <c r="A64" t="s">
        <v>221</v>
      </c>
      <c r="B64" s="1">
        <v>3017014</v>
      </c>
      <c r="C64" t="s">
        <v>186</v>
      </c>
      <c r="D64" t="s">
        <v>288</v>
      </c>
      <c r="E64" s="2" t="str">
        <f>_xlfn.XLOOKUP(Cat_SKU[[#This Row],[Item]],CAT_MOD_v31[NÚMERO DE ARTÍCULO (SAP)],CAT_MOD_v31[RESUMIDO],"",0)</f>
        <v>Pulsar N250</v>
      </c>
      <c r="F64" s="2" t="str">
        <f>_xlfn.XLOOKUP(Cat_SKU[[#This Row],[Item]],CAT_MOD_v31[NÚMERO DE ARTÍCULO (SAP)],CAT_MOD_v31[COLOR],"",0)</f>
        <v>Amarillo</v>
      </c>
      <c r="G64" s="2">
        <f>_xlfn.XLOOKUP(Cat_SKU[[#This Row],[Item]],CAT_MOD_v31[NÚMERO DE ARTÍCULO (SAP)],CAT_MOD_v31[AÑO],"",0)</f>
        <v>2026</v>
      </c>
    </row>
    <row r="65" spans="1:7" x14ac:dyDescent="0.35">
      <c r="A65" t="s">
        <v>221</v>
      </c>
      <c r="B65" s="1">
        <v>3017017</v>
      </c>
      <c r="D65" t="s">
        <v>306</v>
      </c>
      <c r="E65" s="2" t="str">
        <f>_xlfn.XLOOKUP(Cat_SKU[[#This Row],[Item]],CAT_MOD_v31[NÚMERO DE ARTÍCULO (SAP)],CAT_MOD_v31[RESUMIDO],"",0)</f>
        <v>Pulsar NS200 UG</v>
      </c>
      <c r="F65" s="2" t="str">
        <f>_xlfn.XLOOKUP(Cat_SKU[[#This Row],[Item]],CAT_MOD_v31[NÚMERO DE ARTÍCULO (SAP)],CAT_MOD_v31[COLOR],"",0)</f>
        <v>Gris</v>
      </c>
      <c r="G65" s="2">
        <f>_xlfn.XLOOKUP(Cat_SKU[[#This Row],[Item]],CAT_MOD_v31[NÚMERO DE ARTÍCULO (SAP)],CAT_MOD_v31[AÑO],"",0)</f>
        <v>2026</v>
      </c>
    </row>
    <row r="66" spans="1:7" x14ac:dyDescent="0.35">
      <c r="A66" t="s">
        <v>221</v>
      </c>
      <c r="B66" s="1">
        <v>3017018</v>
      </c>
      <c r="D66" t="s">
        <v>307</v>
      </c>
      <c r="E66" s="2" t="str">
        <f>_xlfn.XLOOKUP(Cat_SKU[[#This Row],[Item]],CAT_MOD_v31[NÚMERO DE ARTÍCULO (SAP)],CAT_MOD_v31[RESUMIDO],"",0)</f>
        <v>Pulsar NS200 UG</v>
      </c>
      <c r="F66" s="2" t="str">
        <f>_xlfn.XLOOKUP(Cat_SKU[[#This Row],[Item]],CAT_MOD_v31[NÚMERO DE ARTÍCULO (SAP)],CAT_MOD_v31[COLOR],"",0)</f>
        <v>Negro</v>
      </c>
      <c r="G66" s="2">
        <f>_xlfn.XLOOKUP(Cat_SKU[[#This Row],[Item]],CAT_MOD_v31[NÚMERO DE ARTÍCULO (SAP)],CAT_MOD_v31[AÑO],"",0)</f>
        <v>2026</v>
      </c>
    </row>
    <row r="67" spans="1:7" x14ac:dyDescent="0.35">
      <c r="A67" t="s">
        <v>221</v>
      </c>
      <c r="B67" s="1">
        <v>3017019</v>
      </c>
      <c r="D67" t="s">
        <v>308</v>
      </c>
      <c r="E67" s="2" t="str">
        <f>_xlfn.XLOOKUP(Cat_SKU[[#This Row],[Item]],CAT_MOD_v31[NÚMERO DE ARTÍCULO (SAP)],CAT_MOD_v31[RESUMIDO],"",0)</f>
        <v>Dominar 400</v>
      </c>
      <c r="F67" s="2" t="str">
        <f>_xlfn.XLOOKUP(Cat_SKU[[#This Row],[Item]],CAT_MOD_v31[NÚMERO DE ARTÍCULO (SAP)],CAT_MOD_v31[COLOR],"",0)</f>
        <v>Negro</v>
      </c>
      <c r="G67" s="2">
        <f>_xlfn.XLOOKUP(Cat_SKU[[#This Row],[Item]],CAT_MOD_v31[NÚMERO DE ARTÍCULO (SAP)],CAT_MOD_v31[AÑO],"",0)</f>
        <v>2026</v>
      </c>
    </row>
    <row r="68" spans="1:7" x14ac:dyDescent="0.35">
      <c r="A68" t="s">
        <v>221</v>
      </c>
      <c r="B68" s="1">
        <v>3017020</v>
      </c>
      <c r="D68" t="s">
        <v>309</v>
      </c>
      <c r="E68" s="2" t="str">
        <f>_xlfn.XLOOKUP(Cat_SKU[[#This Row],[Item]],CAT_MOD_v31[NÚMERO DE ARTÍCULO (SAP)],CAT_MOD_v31[RESUMIDO],"",0)</f>
        <v>Dominar 400</v>
      </c>
      <c r="F68" s="2" t="str">
        <f>_xlfn.XLOOKUP(Cat_SKU[[#This Row],[Item]],CAT_MOD_v31[NÚMERO DE ARTÍCULO (SAP)],CAT_MOD_v31[COLOR],"",0)</f>
        <v>Verde</v>
      </c>
      <c r="G68" s="2">
        <f>_xlfn.XLOOKUP(Cat_SKU[[#This Row],[Item]],CAT_MOD_v31[NÚMERO DE ARTÍCULO (SAP)],CAT_MOD_v31[AÑO],"",0)</f>
        <v>2026</v>
      </c>
    </row>
    <row r="69" spans="1:7" x14ac:dyDescent="0.35">
      <c r="A69" t="s">
        <v>421</v>
      </c>
      <c r="B69" s="1">
        <v>800000000001</v>
      </c>
      <c r="C69" t="s">
        <v>434</v>
      </c>
      <c r="D69" t="s">
        <v>292</v>
      </c>
      <c r="E69" s="2" t="str">
        <f>_xlfn.XLOOKUP(Cat_SKU[[#This Row],[Item]],CAT_MOD_v31[NÚMERO DE ARTÍCULO (SAP)],CAT_MOD_v31[RESUMIDO],"",0)</f>
        <v>Pulsar NS160 UG</v>
      </c>
      <c r="F69" s="2" t="str">
        <f>_xlfn.XLOOKUP(Cat_SKU[[#This Row],[Item]],CAT_MOD_v31[NÚMERO DE ARTÍCULO (SAP)],CAT_MOD_v31[COLOR],"",0)</f>
        <v>Gris</v>
      </c>
      <c r="G69" s="2">
        <f>_xlfn.XLOOKUP(Cat_SKU[[#This Row],[Item]],CAT_MOD_v31[NÚMERO DE ARTÍCULO (SAP)],CAT_MOD_v31[AÑO],"",0)</f>
        <v>2024</v>
      </c>
    </row>
    <row r="70" spans="1:7" x14ac:dyDescent="0.35">
      <c r="A70" t="s">
        <v>421</v>
      </c>
      <c r="B70" s="1">
        <v>800000000001</v>
      </c>
      <c r="C70" t="s">
        <v>788</v>
      </c>
      <c r="D70" t="s">
        <v>282</v>
      </c>
      <c r="E70" s="2" t="str">
        <f>_xlfn.XLOOKUP(Cat_SKU[[#This Row],[Item]],CAT_MOD_v31[NÚMERO DE ARTÍCULO (SAP)],CAT_MOD_v31[RESUMIDO],"",0)</f>
        <v>Pulsar NS160 UG</v>
      </c>
      <c r="F70" s="2" t="str">
        <f>_xlfn.XLOOKUP(Cat_SKU[[#This Row],[Item]],CAT_MOD_v31[NÚMERO DE ARTÍCULO (SAP)],CAT_MOD_v31[COLOR],"",0)</f>
        <v>Gris</v>
      </c>
      <c r="G70" s="2">
        <f>_xlfn.XLOOKUP(Cat_SKU[[#This Row],[Item]],CAT_MOD_v31[NÚMERO DE ARTÍCULO (SAP)],CAT_MOD_v31[AÑO],"",0)</f>
        <v>2025</v>
      </c>
    </row>
    <row r="71" spans="1:7" x14ac:dyDescent="0.35">
      <c r="A71" t="s">
        <v>421</v>
      </c>
      <c r="B71" s="1">
        <v>800000000004</v>
      </c>
      <c r="C71" t="s">
        <v>439</v>
      </c>
      <c r="D71" t="s">
        <v>291</v>
      </c>
      <c r="E71" s="2" t="str">
        <f>_xlfn.XLOOKUP(Cat_SKU[[#This Row],[Item]],CAT_MOD_v31[NÚMERO DE ARTÍCULO (SAP)],CAT_MOD_v31[RESUMIDO],"",0)</f>
        <v>Pulsar NS200 UG</v>
      </c>
      <c r="F71" s="2" t="str">
        <f>_xlfn.XLOOKUP(Cat_SKU[[#This Row],[Item]],CAT_MOD_v31[NÚMERO DE ARTÍCULO (SAP)],CAT_MOD_v31[COLOR],"",0)</f>
        <v>Negro</v>
      </c>
      <c r="G71" s="2">
        <f>_xlfn.XLOOKUP(Cat_SKU[[#This Row],[Item]],CAT_MOD_v31[NÚMERO DE ARTÍCULO (SAP)],CAT_MOD_v31[AÑO],"",0)</f>
        <v>2024</v>
      </c>
    </row>
    <row r="72" spans="1:7" x14ac:dyDescent="0.35">
      <c r="A72" t="s">
        <v>421</v>
      </c>
      <c r="B72" s="1">
        <v>800000000004</v>
      </c>
      <c r="C72" t="s">
        <v>790</v>
      </c>
      <c r="D72" t="s">
        <v>285</v>
      </c>
      <c r="E72" s="2" t="str">
        <f>_xlfn.XLOOKUP(Cat_SKU[[#This Row],[Item]],CAT_MOD_v31[NÚMERO DE ARTÍCULO (SAP)],CAT_MOD_v31[RESUMIDO],"",0)</f>
        <v>Pulsar NS200 UG</v>
      </c>
      <c r="F72" s="2" t="str">
        <f>_xlfn.XLOOKUP(Cat_SKU[[#This Row],[Item]],CAT_MOD_v31[NÚMERO DE ARTÍCULO (SAP)],CAT_MOD_v31[COLOR],"",0)</f>
        <v>Negro</v>
      </c>
      <c r="G72" s="2">
        <f>_xlfn.XLOOKUP(Cat_SKU[[#This Row],[Item]],CAT_MOD_v31[NÚMERO DE ARTÍCULO (SAP)],CAT_MOD_v31[AÑO],"",0)</f>
        <v>2025</v>
      </c>
    </row>
    <row r="73" spans="1:7" x14ac:dyDescent="0.35">
      <c r="A73" t="s">
        <v>421</v>
      </c>
      <c r="B73" s="1">
        <v>800000000008</v>
      </c>
      <c r="C73" t="s">
        <v>436</v>
      </c>
      <c r="D73" t="s">
        <v>295</v>
      </c>
      <c r="E73" s="2" t="str">
        <f>_xlfn.XLOOKUP(Cat_SKU[[#This Row],[Item]],CAT_MOD_v31[NÚMERO DE ARTÍCULO (SAP)],CAT_MOD_v31[RESUMIDO],"",0)</f>
        <v>Pulsar NS160 UG</v>
      </c>
      <c r="F73" s="2" t="str">
        <f>_xlfn.XLOOKUP(Cat_SKU[[#This Row],[Item]],CAT_MOD_v31[NÚMERO DE ARTÍCULO (SAP)],CAT_MOD_v31[COLOR],"",0)</f>
        <v>Perla</v>
      </c>
      <c r="G73" s="2">
        <f>_xlfn.XLOOKUP(Cat_SKU[[#This Row],[Item]],CAT_MOD_v31[NÚMERO DE ARTÍCULO (SAP)],CAT_MOD_v31[AÑO],"",0)</f>
        <v>2024</v>
      </c>
    </row>
    <row r="74" spans="1:7" x14ac:dyDescent="0.35">
      <c r="A74" t="s">
        <v>421</v>
      </c>
      <c r="B74" s="1">
        <v>800000000009</v>
      </c>
      <c r="C74" t="s">
        <v>440</v>
      </c>
      <c r="D74" t="s">
        <v>298</v>
      </c>
      <c r="E74" s="2" t="str">
        <f>_xlfn.XLOOKUP(Cat_SKU[[#This Row],[Item]],CAT_MOD_v31[NÚMERO DE ARTÍCULO (SAP)],CAT_MOD_v31[RESUMIDO],"",0)</f>
        <v>Pulsar NS200 UG</v>
      </c>
      <c r="F74" s="2" t="str">
        <f>_xlfn.XLOOKUP(Cat_SKU[[#This Row],[Item]],CAT_MOD_v31[NÚMERO DE ARTÍCULO (SAP)],CAT_MOD_v31[COLOR],"",0)</f>
        <v>Perla</v>
      </c>
      <c r="G74" s="2">
        <f>_xlfn.XLOOKUP(Cat_SKU[[#This Row],[Item]],CAT_MOD_v31[NÚMERO DE ARTÍCULO (SAP)],CAT_MOD_v31[AÑO],"",0)</f>
        <v>2024</v>
      </c>
    </row>
    <row r="75" spans="1:7" x14ac:dyDescent="0.35">
      <c r="A75" t="s">
        <v>421</v>
      </c>
      <c r="B75" s="1">
        <v>800000000009</v>
      </c>
      <c r="C75" t="s">
        <v>789</v>
      </c>
      <c r="D75" t="s">
        <v>286</v>
      </c>
      <c r="E75" s="2" t="str">
        <f>_xlfn.XLOOKUP(Cat_SKU[[#This Row],[Item]],CAT_MOD_v31[NÚMERO DE ARTÍCULO (SAP)],CAT_MOD_v31[RESUMIDO],"",0)</f>
        <v>Pulsar NS200 UG</v>
      </c>
      <c r="F75" s="2" t="str">
        <f>_xlfn.XLOOKUP(Cat_SKU[[#This Row],[Item]],CAT_MOD_v31[NÚMERO DE ARTÍCULO (SAP)],CAT_MOD_v31[COLOR],"",0)</f>
        <v>Perla</v>
      </c>
      <c r="G75" s="2">
        <f>_xlfn.XLOOKUP(Cat_SKU[[#This Row],[Item]],CAT_MOD_v31[NÚMERO DE ARTÍCULO (SAP)],CAT_MOD_v31[AÑO],"",0)</f>
        <v>2025</v>
      </c>
    </row>
    <row r="76" spans="1:7" x14ac:dyDescent="0.35">
      <c r="A76" t="s">
        <v>421</v>
      </c>
      <c r="B76" s="1">
        <v>800000000035</v>
      </c>
      <c r="C76" t="s">
        <v>435</v>
      </c>
      <c r="D76" t="s">
        <v>282</v>
      </c>
      <c r="E76" s="2" t="str">
        <f>_xlfn.XLOOKUP(Cat_SKU[[#This Row],[Item]],CAT_MOD_v31[NÚMERO DE ARTÍCULO (SAP)],CAT_MOD_v31[RESUMIDO],"",0)</f>
        <v>Pulsar NS160 UG</v>
      </c>
      <c r="F76" s="2" t="str">
        <f>_xlfn.XLOOKUP(Cat_SKU[[#This Row],[Item]],CAT_MOD_v31[NÚMERO DE ARTÍCULO (SAP)],CAT_MOD_v31[COLOR],"",0)</f>
        <v>Gris</v>
      </c>
      <c r="G76" s="2">
        <f>_xlfn.XLOOKUP(Cat_SKU[[#This Row],[Item]],CAT_MOD_v31[NÚMERO DE ARTÍCULO (SAP)],CAT_MOD_v31[AÑO],"",0)</f>
        <v>2025</v>
      </c>
    </row>
    <row r="77" spans="1:7" x14ac:dyDescent="0.35">
      <c r="A77" t="s">
        <v>421</v>
      </c>
      <c r="B77" s="1">
        <v>800000000036</v>
      </c>
      <c r="C77" t="s">
        <v>437</v>
      </c>
      <c r="D77" t="s">
        <v>267</v>
      </c>
      <c r="E77" s="2" t="str">
        <f>_xlfn.XLOOKUP(Cat_SKU[[#This Row],[Item]],CAT_MOD_v31[NÚMERO DE ARTÍCULO (SAP)],CAT_MOD_v31[RESUMIDO],"",0)</f>
        <v>Pulsar NS160 UG</v>
      </c>
      <c r="F77" s="2" t="str">
        <f>_xlfn.XLOOKUP(Cat_SKU[[#This Row],[Item]],CAT_MOD_v31[NÚMERO DE ARTÍCULO (SAP)],CAT_MOD_v31[COLOR],"",0)</f>
        <v>Perla</v>
      </c>
      <c r="G77" s="2">
        <f>_xlfn.XLOOKUP(Cat_SKU[[#This Row],[Item]],CAT_MOD_v31[NÚMERO DE ARTÍCULO (SAP)],CAT_MOD_v31[AÑO],"",0)</f>
        <v>2025</v>
      </c>
    </row>
    <row r="78" spans="1:7" x14ac:dyDescent="0.35">
      <c r="A78" t="s">
        <v>421</v>
      </c>
      <c r="B78" s="1">
        <v>800000000037</v>
      </c>
      <c r="C78" t="s">
        <v>438</v>
      </c>
      <c r="D78" t="s">
        <v>285</v>
      </c>
      <c r="E78" s="2" t="str">
        <f>_xlfn.XLOOKUP(Cat_SKU[[#This Row],[Item]],CAT_MOD_v31[NÚMERO DE ARTÍCULO (SAP)],CAT_MOD_v31[RESUMIDO],"",0)</f>
        <v>Pulsar NS200 UG</v>
      </c>
      <c r="F78" s="2" t="str">
        <f>_xlfn.XLOOKUP(Cat_SKU[[#This Row],[Item]],CAT_MOD_v31[NÚMERO DE ARTÍCULO (SAP)],CAT_MOD_v31[COLOR],"",0)</f>
        <v>Negro</v>
      </c>
      <c r="G78" s="2">
        <f>_xlfn.XLOOKUP(Cat_SKU[[#This Row],[Item]],CAT_MOD_v31[NÚMERO DE ARTÍCULO (SAP)],CAT_MOD_v31[AÑO],"",0)</f>
        <v>2025</v>
      </c>
    </row>
    <row r="79" spans="1:7" x14ac:dyDescent="0.35">
      <c r="A79" t="s">
        <v>421</v>
      </c>
      <c r="B79" s="1">
        <v>800000000038</v>
      </c>
      <c r="C79" t="s">
        <v>441</v>
      </c>
      <c r="D79" t="s">
        <v>286</v>
      </c>
      <c r="E79" s="2" t="str">
        <f>_xlfn.XLOOKUP(Cat_SKU[[#This Row],[Item]],CAT_MOD_v31[NÚMERO DE ARTÍCULO (SAP)],CAT_MOD_v31[RESUMIDO],"",0)</f>
        <v>Pulsar NS200 UG</v>
      </c>
      <c r="F79" s="2" t="str">
        <f>_xlfn.XLOOKUP(Cat_SKU[[#This Row],[Item]],CAT_MOD_v31[NÚMERO DE ARTÍCULO (SAP)],CAT_MOD_v31[COLOR],"",0)</f>
        <v>Perla</v>
      </c>
      <c r="G79" s="2">
        <f>_xlfn.XLOOKUP(Cat_SKU[[#This Row],[Item]],CAT_MOD_v31[NÚMERO DE ARTÍCULO (SAP)],CAT_MOD_v31[AÑO],"",0)</f>
        <v>2025</v>
      </c>
    </row>
    <row r="80" spans="1:7" x14ac:dyDescent="0.35">
      <c r="A80" t="s">
        <v>421</v>
      </c>
      <c r="B80" s="1">
        <v>800000000055</v>
      </c>
      <c r="C80" t="s">
        <v>422</v>
      </c>
      <c r="D80" t="s">
        <v>258</v>
      </c>
      <c r="E80" s="2" t="str">
        <f>_xlfn.XLOOKUP(Cat_SKU[[#This Row],[Item]],CAT_MOD_v31[NÚMERO DE ARTÍCULO (SAP)],CAT_MOD_v31[RESUMIDO],"",0)</f>
        <v>Dominar 400</v>
      </c>
      <c r="F80" s="2" t="str">
        <f>_xlfn.XLOOKUP(Cat_SKU[[#This Row],[Item]],CAT_MOD_v31[NÚMERO DE ARTÍCULO (SAP)],CAT_MOD_v31[COLOR],"",0)</f>
        <v>Negro</v>
      </c>
      <c r="G80" s="2">
        <f>_xlfn.XLOOKUP(Cat_SKU[[#This Row],[Item]],CAT_MOD_v31[NÚMERO DE ARTÍCULO (SAP)],CAT_MOD_v31[AÑO],"",0)</f>
        <v>2025</v>
      </c>
    </row>
    <row r="81" spans="1:7" x14ac:dyDescent="0.35">
      <c r="A81" t="s">
        <v>421</v>
      </c>
      <c r="B81" s="1">
        <v>800000000056</v>
      </c>
      <c r="C81" t="s">
        <v>442</v>
      </c>
      <c r="D81" t="s">
        <v>284</v>
      </c>
      <c r="E81" s="2" t="str">
        <f>_xlfn.XLOOKUP(Cat_SKU[[#This Row],[Item]],CAT_MOD_v31[NÚMERO DE ARTÍCULO (SAP)],CAT_MOD_v31[RESUMIDO],"",0)</f>
        <v>Pulsar RS200</v>
      </c>
      <c r="F81" s="2" t="str">
        <f>_xlfn.XLOOKUP(Cat_SKU[[#This Row],[Item]],CAT_MOD_v31[NÚMERO DE ARTÍCULO (SAP)],CAT_MOD_v31[COLOR],"",0)</f>
        <v>Gris</v>
      </c>
      <c r="G81" s="2">
        <f>_xlfn.XLOOKUP(Cat_SKU[[#This Row],[Item]],CAT_MOD_v31[NÚMERO DE ARTÍCULO (SAP)],CAT_MOD_v31[AÑO],"",0)</f>
        <v>2025</v>
      </c>
    </row>
    <row r="82" spans="1:7" x14ac:dyDescent="0.35">
      <c r="A82" t="s">
        <v>421</v>
      </c>
      <c r="B82" s="1">
        <v>800000000057</v>
      </c>
      <c r="C82" t="s">
        <v>443</v>
      </c>
      <c r="D82" t="s">
        <v>287</v>
      </c>
      <c r="E82" s="2" t="str">
        <f>_xlfn.XLOOKUP(Cat_SKU[[#This Row],[Item]],CAT_MOD_v31[NÚMERO DE ARTÍCULO (SAP)],CAT_MOD_v31[RESUMIDO],"",0)</f>
        <v>Pulsar RS200</v>
      </c>
      <c r="F82" s="2" t="str">
        <f>_xlfn.XLOOKUP(Cat_SKU[[#This Row],[Item]],CAT_MOD_v31[NÚMERO DE ARTÍCULO (SAP)],CAT_MOD_v31[COLOR],"",0)</f>
        <v>Perla</v>
      </c>
      <c r="G82" s="2">
        <f>_xlfn.XLOOKUP(Cat_SKU[[#This Row],[Item]],CAT_MOD_v31[NÚMERO DE ARTÍCULO (SAP)],CAT_MOD_v31[AÑO],"",0)</f>
        <v>2025</v>
      </c>
    </row>
    <row r="83" spans="1:7" x14ac:dyDescent="0.35">
      <c r="A83" t="s">
        <v>421</v>
      </c>
      <c r="B83" s="1">
        <v>800000000058</v>
      </c>
      <c r="C83" t="s">
        <v>430</v>
      </c>
      <c r="D83" t="s">
        <v>274</v>
      </c>
      <c r="E83" s="2" t="str">
        <f>_xlfn.XLOOKUP(Cat_SKU[[#This Row],[Item]],CAT_MOD_v31[NÚMERO DE ARTÍCULO (SAP)],CAT_MOD_v31[RESUMIDO],"",0)</f>
        <v>Pulsar N250 FI ABS</v>
      </c>
      <c r="F83" s="2" t="str">
        <f>_xlfn.XLOOKUP(Cat_SKU[[#This Row],[Item]],CAT_MOD_v31[NÚMERO DE ARTÍCULO (SAP)],CAT_MOD_v31[COLOR],"",0)</f>
        <v>Negro</v>
      </c>
      <c r="G83" s="2">
        <f>_xlfn.XLOOKUP(Cat_SKU[[#This Row],[Item]],CAT_MOD_v31[NÚMERO DE ARTÍCULO (SAP)],CAT_MOD_v31[AÑO],"",0)</f>
        <v>2025</v>
      </c>
    </row>
    <row r="84" spans="1:7" x14ac:dyDescent="0.35">
      <c r="A84" t="s">
        <v>421</v>
      </c>
      <c r="B84" s="1">
        <v>800000000062</v>
      </c>
      <c r="C84" t="s">
        <v>431</v>
      </c>
      <c r="D84" t="s">
        <v>300</v>
      </c>
      <c r="E84" s="2" t="str">
        <f>_xlfn.XLOOKUP(Cat_SKU[[#This Row],[Item]],CAT_MOD_v31[NÚMERO DE ARTÍCULO (SAP)],CAT_MOD_v31[RESUMIDO],"",0)</f>
        <v>Pulsar N250 FI ABS</v>
      </c>
      <c r="F84" s="2" t="str">
        <f>_xlfn.XLOOKUP(Cat_SKU[[#This Row],[Item]],CAT_MOD_v31[NÚMERO DE ARTÍCULO (SAP)],CAT_MOD_v31[COLOR],"",0)</f>
        <v>Rojo</v>
      </c>
      <c r="G84" s="2">
        <f>_xlfn.XLOOKUP(Cat_SKU[[#This Row],[Item]],CAT_MOD_v31[NÚMERO DE ARTÍCULO (SAP)],CAT_MOD_v31[AÑO],"",0)</f>
        <v>2025</v>
      </c>
    </row>
    <row r="85" spans="1:7" x14ac:dyDescent="0.35">
      <c r="A85" t="s">
        <v>421</v>
      </c>
      <c r="B85" s="1">
        <v>800000000062</v>
      </c>
      <c r="C85" t="s">
        <v>791</v>
      </c>
      <c r="D85" t="s">
        <v>359</v>
      </c>
      <c r="E85" s="2" t="str">
        <f>_xlfn.XLOOKUP(Cat_SKU[[#This Row],[Item]],CAT_MOD_v31[NÚMERO DE ARTÍCULO (SAP)],CAT_MOD_v31[RESUMIDO],"",0)</f>
        <v>Pulsar N250 FI ABS UG</v>
      </c>
      <c r="F85" s="2" t="str">
        <f>_xlfn.XLOOKUP(Cat_SKU[[#This Row],[Item]],CAT_MOD_v31[NÚMERO DE ARTÍCULO (SAP)],CAT_MOD_v31[COLOR],"",0)</f>
        <v>Negro</v>
      </c>
      <c r="G85" s="2">
        <f>_xlfn.XLOOKUP(Cat_SKU[[#This Row],[Item]],CAT_MOD_v31[NÚMERO DE ARTÍCULO (SAP)],CAT_MOD_v31[AÑO],"",0)</f>
        <v>2025</v>
      </c>
    </row>
    <row r="86" spans="1:7" x14ac:dyDescent="0.35">
      <c r="A86" t="s">
        <v>421</v>
      </c>
      <c r="B86" s="1">
        <v>800000000081</v>
      </c>
      <c r="C86" t="s">
        <v>426</v>
      </c>
      <c r="D86" t="s">
        <v>304</v>
      </c>
      <c r="E86" s="2" t="str">
        <f>_xlfn.XLOOKUP(Cat_SKU[[#This Row],[Item]],CAT_MOD_v31[NÚMERO DE ARTÍCULO (SAP)],CAT_MOD_v31[RESUMIDO],"",0)</f>
        <v>Pulsar N160</v>
      </c>
      <c r="F86" s="2" t="str">
        <f>_xlfn.XLOOKUP(Cat_SKU[[#This Row],[Item]],CAT_MOD_v31[NÚMERO DE ARTÍCULO (SAP)],CAT_MOD_v31[COLOR],"",0)</f>
        <v>Negro</v>
      </c>
      <c r="G86" s="2">
        <f>_xlfn.XLOOKUP(Cat_SKU[[#This Row],[Item]],CAT_MOD_v31[NÚMERO DE ARTÍCULO (SAP)],CAT_MOD_v31[AÑO],"",0)</f>
        <v>2025</v>
      </c>
    </row>
    <row r="87" spans="1:7" x14ac:dyDescent="0.35">
      <c r="A87" t="s">
        <v>421</v>
      </c>
      <c r="B87" s="1">
        <v>800000000082</v>
      </c>
      <c r="C87" t="s">
        <v>432</v>
      </c>
      <c r="D87" t="s">
        <v>273</v>
      </c>
      <c r="E87" s="2" t="str">
        <f>_xlfn.XLOOKUP(Cat_SKU[[#This Row],[Item]],CAT_MOD_v31[NÚMERO DE ARTÍCULO (SAP)],CAT_MOD_v31[RESUMIDO],"",0)</f>
        <v>Pulsar N250</v>
      </c>
      <c r="F87" s="2" t="str">
        <f>_xlfn.XLOOKUP(Cat_SKU[[#This Row],[Item]],CAT_MOD_v31[NÚMERO DE ARTÍCULO (SAP)],CAT_MOD_v31[COLOR],"",0)</f>
        <v>Negro</v>
      </c>
      <c r="G87" s="2">
        <f>_xlfn.XLOOKUP(Cat_SKU[[#This Row],[Item]],CAT_MOD_v31[NÚMERO DE ARTÍCULO (SAP)],CAT_MOD_v31[AÑO],"",0)</f>
        <v>2025</v>
      </c>
    </row>
    <row r="88" spans="1:7" x14ac:dyDescent="0.35">
      <c r="A88" t="s">
        <v>421</v>
      </c>
      <c r="B88" s="1">
        <v>800000000083</v>
      </c>
      <c r="C88" t="s">
        <v>428</v>
      </c>
      <c r="D88" t="s">
        <v>275</v>
      </c>
      <c r="E88" s="2" t="str">
        <f>_xlfn.XLOOKUP(Cat_SKU[[#This Row],[Item]],CAT_MOD_v31[NÚMERO DE ARTÍCULO (SAP)],CAT_MOD_v31[RESUMIDO],"",0)</f>
        <v>Pulsar N250</v>
      </c>
      <c r="F88" s="2" t="str">
        <f>_xlfn.XLOOKUP(Cat_SKU[[#This Row],[Item]],CAT_MOD_v31[NÚMERO DE ARTÍCULO (SAP)],CAT_MOD_v31[COLOR],"",0)</f>
        <v>Azul</v>
      </c>
      <c r="G88" s="2">
        <f>_xlfn.XLOOKUP(Cat_SKU[[#This Row],[Item]],CAT_MOD_v31[NÚMERO DE ARTÍCULO (SAP)],CAT_MOD_v31[AÑO],"",0)</f>
        <v>2025</v>
      </c>
    </row>
    <row r="89" spans="1:7" x14ac:dyDescent="0.35">
      <c r="A89" t="s">
        <v>421</v>
      </c>
      <c r="B89" s="1">
        <v>800000000091</v>
      </c>
      <c r="C89" t="s">
        <v>427</v>
      </c>
      <c r="D89" t="s">
        <v>276</v>
      </c>
      <c r="E89" s="2" t="str">
        <f>_xlfn.XLOOKUP(Cat_SKU[[#This Row],[Item]],CAT_MOD_v31[NÚMERO DE ARTÍCULO (SAP)],CAT_MOD_v31[RESUMIDO],"",0)</f>
        <v>Pulsar N250</v>
      </c>
      <c r="F89" s="2" t="str">
        <f>_xlfn.XLOOKUP(Cat_SKU[[#This Row],[Item]],CAT_MOD_v31[NÚMERO DE ARTÍCULO (SAP)],CAT_MOD_v31[COLOR],"",0)</f>
        <v>Amarillo</v>
      </c>
      <c r="G89" s="2">
        <f>_xlfn.XLOOKUP(Cat_SKU[[#This Row],[Item]],CAT_MOD_v31[NÚMERO DE ARTÍCULO (SAP)],CAT_MOD_v31[AÑO],"",0)</f>
        <v>2025</v>
      </c>
    </row>
    <row r="90" spans="1:7" x14ac:dyDescent="0.35">
      <c r="A90" t="s">
        <v>421</v>
      </c>
      <c r="B90" s="1">
        <v>800000000094</v>
      </c>
      <c r="C90" t="s">
        <v>444</v>
      </c>
      <c r="D90" t="s">
        <v>274</v>
      </c>
      <c r="E90" s="2" t="str">
        <f>_xlfn.XLOOKUP(Cat_SKU[[#This Row],[Item]],CAT_MOD_v31[NÚMERO DE ARTÍCULO (SAP)],CAT_MOD_v31[RESUMIDO],"",0)</f>
        <v>Pulsar N250 FI ABS</v>
      </c>
      <c r="F90" s="2" t="str">
        <f>_xlfn.XLOOKUP(Cat_SKU[[#This Row],[Item]],CAT_MOD_v31[NÚMERO DE ARTÍCULO (SAP)],CAT_MOD_v31[COLOR],"",0)</f>
        <v>Negro</v>
      </c>
      <c r="G90" s="2">
        <f>_xlfn.XLOOKUP(Cat_SKU[[#This Row],[Item]],CAT_MOD_v31[NÚMERO DE ARTÍCULO (SAP)],CAT_MOD_v31[AÑO],"",0)</f>
        <v>2025</v>
      </c>
    </row>
    <row r="91" spans="1:7" x14ac:dyDescent="0.35">
      <c r="A91" t="s">
        <v>421</v>
      </c>
      <c r="B91" s="1">
        <v>800000000094</v>
      </c>
      <c r="C91" t="s">
        <v>792</v>
      </c>
      <c r="D91" t="s">
        <v>359</v>
      </c>
      <c r="E91" s="2" t="str">
        <f>_xlfn.XLOOKUP(Cat_SKU[[#This Row],[Item]],CAT_MOD_v31[NÚMERO DE ARTÍCULO (SAP)],CAT_MOD_v31[RESUMIDO],"",0)</f>
        <v>Pulsar N250 FI ABS UG</v>
      </c>
      <c r="F91" s="2" t="str">
        <f>_xlfn.XLOOKUP(Cat_SKU[[#This Row],[Item]],CAT_MOD_v31[NÚMERO DE ARTÍCULO (SAP)],CAT_MOD_v31[COLOR],"",0)</f>
        <v>Negro</v>
      </c>
      <c r="G91" s="2">
        <f>_xlfn.XLOOKUP(Cat_SKU[[#This Row],[Item]],CAT_MOD_v31[NÚMERO DE ARTÍCULO (SAP)],CAT_MOD_v31[AÑO],"",0)</f>
        <v>2025</v>
      </c>
    </row>
    <row r="92" spans="1:7" x14ac:dyDescent="0.35">
      <c r="A92" t="s">
        <v>421</v>
      </c>
      <c r="B92" s="1">
        <v>800000000095</v>
      </c>
      <c r="C92" t="s">
        <v>429</v>
      </c>
      <c r="D92" t="s">
        <v>360</v>
      </c>
      <c r="E92" s="2" t="str">
        <f>_xlfn.XLOOKUP(Cat_SKU[[#This Row],[Item]],CAT_MOD_v31[NÚMERO DE ARTÍCULO (SAP)],CAT_MOD_v31[RESUMIDO],"",0)</f>
        <v>Pulsar N250 FI ABS</v>
      </c>
      <c r="F92" s="2" t="str">
        <f>_xlfn.XLOOKUP(Cat_SKU[[#This Row],[Item]],CAT_MOD_v31[NÚMERO DE ARTÍCULO (SAP)],CAT_MOD_v31[COLOR],"",0)</f>
        <v>Rojo</v>
      </c>
      <c r="G92" s="2">
        <f>_xlfn.XLOOKUP(Cat_SKU[[#This Row],[Item]],CAT_MOD_v31[NÚMERO DE ARTÍCULO (SAP)],CAT_MOD_v31[AÑO],"",0)</f>
        <v>2026</v>
      </c>
    </row>
    <row r="93" spans="1:7" x14ac:dyDescent="0.35">
      <c r="A93" t="s">
        <v>421</v>
      </c>
      <c r="B93" s="1">
        <v>800000000095</v>
      </c>
      <c r="C93" t="s">
        <v>793</v>
      </c>
      <c r="D93" t="s">
        <v>272</v>
      </c>
      <c r="E93" s="2" t="str">
        <f>_xlfn.XLOOKUP(Cat_SKU[[#This Row],[Item]],CAT_MOD_v31[NÚMERO DE ARTÍCULO (SAP)],CAT_MOD_v31[RESUMIDO],"",0)</f>
        <v>Pulsar N250 FI ABS UG</v>
      </c>
      <c r="F93" s="2" t="str">
        <f>_xlfn.XLOOKUP(Cat_SKU[[#This Row],[Item]],CAT_MOD_v31[NÚMERO DE ARTÍCULO (SAP)],CAT_MOD_v31[COLOR],"",0)</f>
        <v>Rojo</v>
      </c>
      <c r="G93" s="2">
        <f>_xlfn.XLOOKUP(Cat_SKU[[#This Row],[Item]],CAT_MOD_v31[NÚMERO DE ARTÍCULO (SAP)],CAT_MOD_v31[AÑO],"",0)</f>
        <v>2025</v>
      </c>
    </row>
    <row r="94" spans="1:7" x14ac:dyDescent="0.35">
      <c r="A94" t="s">
        <v>421</v>
      </c>
      <c r="B94" s="1">
        <v>800000000099</v>
      </c>
      <c r="C94" t="s">
        <v>425</v>
      </c>
      <c r="D94" t="s">
        <v>268</v>
      </c>
      <c r="E94" s="2" t="str">
        <f>_xlfn.XLOOKUP(Cat_SKU[[#This Row],[Item]],CAT_MOD_v31[NÚMERO DE ARTÍCULO (SAP)],CAT_MOD_v31[RESUMIDO],"",0)</f>
        <v>Pulsar N160 FI ABS</v>
      </c>
      <c r="F94" s="2" t="str">
        <f>_xlfn.XLOOKUP(Cat_SKU[[#This Row],[Item]],CAT_MOD_v31[NÚMERO DE ARTÍCULO (SAP)],CAT_MOD_v31[COLOR],"",0)</f>
        <v>Negro</v>
      </c>
      <c r="G94" s="2">
        <f>_xlfn.XLOOKUP(Cat_SKU[[#This Row],[Item]],CAT_MOD_v31[NÚMERO DE ARTÍCULO (SAP)],CAT_MOD_v31[AÑO],"",0)</f>
        <v>2025</v>
      </c>
    </row>
    <row r="95" spans="1:7" x14ac:dyDescent="0.35">
      <c r="A95" t="s">
        <v>421</v>
      </c>
      <c r="B95" s="1">
        <v>800000000099</v>
      </c>
      <c r="C95" t="s">
        <v>794</v>
      </c>
      <c r="D95" t="s">
        <v>358</v>
      </c>
      <c r="E95" s="2" t="str">
        <f>_xlfn.XLOOKUP(Cat_SKU[[#This Row],[Item]],CAT_MOD_v31[NÚMERO DE ARTÍCULO (SAP)],CAT_MOD_v31[RESUMIDO],"",0)</f>
        <v>Pulsar N160 FI ABS UG</v>
      </c>
      <c r="F95" s="2" t="str">
        <f>_xlfn.XLOOKUP(Cat_SKU[[#This Row],[Item]],CAT_MOD_v31[NÚMERO DE ARTÍCULO (SAP)],CAT_MOD_v31[COLOR],"",0)</f>
        <v>Negro</v>
      </c>
      <c r="G95" s="2">
        <f>_xlfn.XLOOKUP(Cat_SKU[[#This Row],[Item]],CAT_MOD_v31[NÚMERO DE ARTÍCULO (SAP)],CAT_MOD_v31[AÑO],"",0)</f>
        <v>2025</v>
      </c>
    </row>
    <row r="96" spans="1:7" x14ac:dyDescent="0.35">
      <c r="A96" t="s">
        <v>421</v>
      </c>
      <c r="B96" s="1">
        <v>800000000100</v>
      </c>
      <c r="C96" t="s">
        <v>433</v>
      </c>
      <c r="D96" t="s">
        <v>265</v>
      </c>
      <c r="E96" s="2" t="str">
        <f>_xlfn.XLOOKUP(Cat_SKU[[#This Row],[Item]],CAT_MOD_v31[NÚMERO DE ARTÍCULO (SAP)],CAT_MOD_v31[RESUMIDO],"",0)</f>
        <v>Pulsar NS125 UG</v>
      </c>
      <c r="F96" s="2" t="str">
        <f>_xlfn.XLOOKUP(Cat_SKU[[#This Row],[Item]],CAT_MOD_v31[NÚMERO DE ARTÍCULO (SAP)],CAT_MOD_v31[COLOR],"",0)</f>
        <v>Gris</v>
      </c>
      <c r="G96" s="2">
        <f>_xlfn.XLOOKUP(Cat_SKU[[#This Row],[Item]],CAT_MOD_v31[NÚMERO DE ARTÍCULO (SAP)],CAT_MOD_v31[AÑO],"",0)</f>
        <v>2025</v>
      </c>
    </row>
    <row r="97" spans="1:7" x14ac:dyDescent="0.35">
      <c r="A97" t="s">
        <v>421</v>
      </c>
      <c r="B97" s="1">
        <v>800000000106</v>
      </c>
      <c r="C97" t="s">
        <v>445</v>
      </c>
      <c r="D97" t="s">
        <v>270</v>
      </c>
      <c r="E97" s="2" t="str">
        <f>_xlfn.XLOOKUP(Cat_SKU[[#This Row],[Item]],CAT_MOD_v31[NÚMERO DE ARTÍCULO (SAP)],CAT_MOD_v31[RESUMIDO],"",0)</f>
        <v>Pulsar N250 FI ABS</v>
      </c>
      <c r="F97" s="2" t="str">
        <f>_xlfn.XLOOKUP(Cat_SKU[[#This Row],[Item]],CAT_MOD_v31[NÚMERO DE ARTÍCULO (SAP)],CAT_MOD_v31[COLOR],"",0)</f>
        <v>Negro</v>
      </c>
      <c r="G97" s="2">
        <f>_xlfn.XLOOKUP(Cat_SKU[[#This Row],[Item]],CAT_MOD_v31[NÚMERO DE ARTÍCULO (SAP)],CAT_MOD_v31[AÑO],"",0)</f>
        <v>2026</v>
      </c>
    </row>
    <row r="98" spans="1:7" x14ac:dyDescent="0.35">
      <c r="A98" t="s">
        <v>421</v>
      </c>
      <c r="B98" s="1">
        <v>800000000107</v>
      </c>
      <c r="C98" t="s">
        <v>446</v>
      </c>
      <c r="D98" t="s">
        <v>271</v>
      </c>
      <c r="E98" s="2" t="str">
        <f>_xlfn.XLOOKUP(Cat_SKU[[#This Row],[Item]],CAT_MOD_v31[NÚMERO DE ARTÍCULO (SAP)],CAT_MOD_v31[RESUMIDO],"",0)</f>
        <v>Pulsar N160</v>
      </c>
      <c r="F98" s="2" t="str">
        <f>_xlfn.XLOOKUP(Cat_SKU[[#This Row],[Item]],CAT_MOD_v31[NÚMERO DE ARTÍCULO (SAP)],CAT_MOD_v31[COLOR],"",0)</f>
        <v>Negro</v>
      </c>
      <c r="G98" s="2">
        <f>_xlfn.XLOOKUP(Cat_SKU[[#This Row],[Item]],CAT_MOD_v31[NÚMERO DE ARTÍCULO (SAP)],CAT_MOD_v31[AÑO],"",0)</f>
        <v>2026</v>
      </c>
    </row>
    <row r="99" spans="1:7" x14ac:dyDescent="0.35">
      <c r="A99" t="s">
        <v>421</v>
      </c>
      <c r="B99" s="1">
        <v>800000000108</v>
      </c>
      <c r="C99" t="s">
        <v>447</v>
      </c>
      <c r="D99" t="s">
        <v>305</v>
      </c>
      <c r="E99" s="2" t="str">
        <f>_xlfn.XLOOKUP(Cat_SKU[[#This Row],[Item]],CAT_MOD_v31[NÚMERO DE ARTÍCULO (SAP)],CAT_MOD_v31[RESUMIDO],"",0)</f>
        <v>Pulsar N250</v>
      </c>
      <c r="F99" s="2" t="str">
        <f>_xlfn.XLOOKUP(Cat_SKU[[#This Row],[Item]],CAT_MOD_v31[NÚMERO DE ARTÍCULO (SAP)],CAT_MOD_v31[COLOR],"",0)</f>
        <v>Negro</v>
      </c>
      <c r="G99" s="2">
        <f>_xlfn.XLOOKUP(Cat_SKU[[#This Row],[Item]],CAT_MOD_v31[NÚMERO DE ARTÍCULO (SAP)],CAT_MOD_v31[AÑO],"",0)</f>
        <v>2026</v>
      </c>
    </row>
    <row r="100" spans="1:7" x14ac:dyDescent="0.35">
      <c r="A100" t="s">
        <v>421</v>
      </c>
      <c r="B100" s="1">
        <v>800000000112</v>
      </c>
      <c r="C100" t="s">
        <v>424</v>
      </c>
      <c r="D100" t="s">
        <v>263</v>
      </c>
      <c r="E100" s="2" t="str">
        <f>_xlfn.XLOOKUP(Cat_SKU[[#This Row],[Item]],CAT_MOD_v31[NÚMERO DE ARTÍCULO (SAP)],CAT_MOD_v31[RESUMIDO],"",0)</f>
        <v>Pulsar N125 FI-CBS</v>
      </c>
      <c r="F100" s="2" t="str">
        <f>_xlfn.XLOOKUP(Cat_SKU[[#This Row],[Item]],CAT_MOD_v31[NÚMERO DE ARTÍCULO (SAP)],CAT_MOD_v31[COLOR],"",0)</f>
        <v>Rojo</v>
      </c>
      <c r="G100" s="2">
        <f>_xlfn.XLOOKUP(Cat_SKU[[#This Row],[Item]],CAT_MOD_v31[NÚMERO DE ARTÍCULO (SAP)],CAT_MOD_v31[AÑO],"",0)</f>
        <v>2026</v>
      </c>
    </row>
    <row r="101" spans="1:7" x14ac:dyDescent="0.35">
      <c r="A101" t="s">
        <v>421</v>
      </c>
      <c r="B101" s="1">
        <v>800000000113</v>
      </c>
      <c r="C101" t="s">
        <v>450</v>
      </c>
      <c r="D101" t="s">
        <v>361</v>
      </c>
      <c r="E101" s="2" t="str">
        <f>_xlfn.XLOOKUP(Cat_SKU[[#This Row],[Item]],CAT_MOD_v31[NÚMERO DE ARTÍCULO (SAP)],CAT_MOD_v31[RESUMIDO],"",0)</f>
        <v>Pulsar N125 FI-CBS</v>
      </c>
      <c r="F101" s="2" t="str">
        <f>_xlfn.XLOOKUP(Cat_SKU[[#This Row],[Item]],CAT_MOD_v31[NÚMERO DE ARTÍCULO (SAP)],CAT_MOD_v31[COLOR],"",0)</f>
        <v>Citrus</v>
      </c>
      <c r="G101" s="2">
        <f>_xlfn.XLOOKUP(Cat_SKU[[#This Row],[Item]],CAT_MOD_v31[NÚMERO DE ARTÍCULO (SAP)],CAT_MOD_v31[AÑO],"",0)</f>
        <v>2026</v>
      </c>
    </row>
    <row r="102" spans="1:7" x14ac:dyDescent="0.35">
      <c r="A102" t="s">
        <v>421</v>
      </c>
      <c r="B102" s="1">
        <v>800000000114</v>
      </c>
      <c r="C102" t="s">
        <v>423</v>
      </c>
      <c r="D102" t="s">
        <v>262</v>
      </c>
      <c r="E102" s="2" t="str">
        <f>_xlfn.XLOOKUP(Cat_SKU[[#This Row],[Item]],CAT_MOD_v31[NÚMERO DE ARTÍCULO (SAP)],CAT_MOD_v31[RESUMIDO],"",0)</f>
        <v>Pulsar N125 FI-CBS</v>
      </c>
      <c r="F102" s="2" t="str">
        <f>_xlfn.XLOOKUP(Cat_SKU[[#This Row],[Item]],CAT_MOD_v31[NÚMERO DE ARTÍCULO (SAP)],CAT_MOD_v31[COLOR],"",0)</f>
        <v>Purpura</v>
      </c>
      <c r="G102" s="2">
        <f>_xlfn.XLOOKUP(Cat_SKU[[#This Row],[Item]],CAT_MOD_v31[NÚMERO DE ARTÍCULO (SAP)],CAT_MOD_v31[AÑO],"",0)</f>
        <v>2026</v>
      </c>
    </row>
    <row r="103" spans="1:7" x14ac:dyDescent="0.35">
      <c r="A103" t="s">
        <v>421</v>
      </c>
      <c r="B103" s="1">
        <v>800000000119</v>
      </c>
      <c r="C103" t="s">
        <v>448</v>
      </c>
      <c r="D103" t="s">
        <v>313</v>
      </c>
      <c r="E103" s="2" t="str">
        <f>_xlfn.XLOOKUP(Cat_SKU[[#This Row],[Item]],CAT_MOD_v31[NÚMERO DE ARTÍCULO (SAP)],CAT_MOD_v31[RESUMIDO],"",0)</f>
        <v>Pulsar N250</v>
      </c>
      <c r="F103" s="2" t="str">
        <f>_xlfn.XLOOKUP(Cat_SKU[[#This Row],[Item]],CAT_MOD_v31[NÚMERO DE ARTÍCULO (SAP)],CAT_MOD_v31[COLOR],"",0)</f>
        <v>Azul</v>
      </c>
      <c r="G103" s="2">
        <f>_xlfn.XLOOKUP(Cat_SKU[[#This Row],[Item]],CAT_MOD_v31[NÚMERO DE ARTÍCULO (SAP)],CAT_MOD_v31[AÑO],"",0)</f>
        <v>2026</v>
      </c>
    </row>
    <row r="104" spans="1:7" x14ac:dyDescent="0.35">
      <c r="A104" t="s">
        <v>421</v>
      </c>
      <c r="B104" s="1">
        <v>800000000153</v>
      </c>
      <c r="C104" t="s">
        <v>449</v>
      </c>
      <c r="D104" t="s">
        <v>360</v>
      </c>
      <c r="E104" s="2" t="str">
        <f>_xlfn.XLOOKUP(Cat_SKU[[#This Row],[Item]],CAT_MOD_v31[NÚMERO DE ARTÍCULO (SAP)],CAT_MOD_v31[RESUMIDO],"",0)</f>
        <v>Pulsar N250 FI ABS</v>
      </c>
      <c r="F104" s="2" t="str">
        <f>_xlfn.XLOOKUP(Cat_SKU[[#This Row],[Item]],CAT_MOD_v31[NÚMERO DE ARTÍCULO (SAP)],CAT_MOD_v31[COLOR],"",0)</f>
        <v>Rojo</v>
      </c>
      <c r="G104" s="2">
        <f>_xlfn.XLOOKUP(Cat_SKU[[#This Row],[Item]],CAT_MOD_v31[NÚMERO DE ARTÍCULO (SAP)],CAT_MOD_v31[AÑO],"",0)</f>
        <v>2026</v>
      </c>
    </row>
    <row r="105" spans="1:7" x14ac:dyDescent="0.35">
      <c r="A105" t="s">
        <v>451</v>
      </c>
      <c r="B105" s="1" t="s">
        <v>761</v>
      </c>
      <c r="C105" t="s">
        <v>780</v>
      </c>
      <c r="D105" t="s">
        <v>398</v>
      </c>
      <c r="E105" s="2" t="str">
        <f>_xlfn.XLOOKUP(Cat_SKU[[#This Row],[Item]],CAT_MOD_v31[NÚMERO DE ARTÍCULO (SAP)],CAT_MOD_v31[RESUMIDO],"",0)</f>
        <v>Pulsar LS125</v>
      </c>
      <c r="F105" s="2" t="str">
        <f>_xlfn.XLOOKUP(Cat_SKU[[#This Row],[Item]],CAT_MOD_v31[NÚMERO DE ARTÍCULO (SAP)],CAT_MOD_v31[COLOR],"",0)</f>
        <v>Amarillo</v>
      </c>
      <c r="G105" s="2">
        <f>_xlfn.XLOOKUP(Cat_SKU[[#This Row],[Item]],CAT_MOD_v31[NÚMERO DE ARTÍCULO (SAP)],CAT_MOD_v31[AÑO],"",0)</f>
        <v>2022</v>
      </c>
    </row>
    <row r="106" spans="1:7" x14ac:dyDescent="0.35">
      <c r="A106" t="s">
        <v>451</v>
      </c>
      <c r="B106" s="1" t="s">
        <v>756</v>
      </c>
      <c r="C106" t="s">
        <v>780</v>
      </c>
      <c r="D106" t="s">
        <v>323</v>
      </c>
      <c r="E106" s="2" t="str">
        <f>_xlfn.XLOOKUP(Cat_SKU[[#This Row],[Item]],CAT_MOD_v31[NÚMERO DE ARTÍCULO (SAP)],CAT_MOD_v31[RESUMIDO],"",0)</f>
        <v>Pulsar LS125</v>
      </c>
      <c r="F106" s="2" t="str">
        <f>_xlfn.XLOOKUP(Cat_SKU[[#This Row],[Item]],CAT_MOD_v31[NÚMERO DE ARTÍCULO (SAP)],CAT_MOD_v31[COLOR],"",0)</f>
        <v>Negro</v>
      </c>
      <c r="G106" s="2">
        <f>_xlfn.XLOOKUP(Cat_SKU[[#This Row],[Item]],CAT_MOD_v31[NÚMERO DE ARTÍCULO (SAP)],CAT_MOD_v31[AÑO],"",0)</f>
        <v>2022</v>
      </c>
    </row>
    <row r="107" spans="1:7" x14ac:dyDescent="0.35">
      <c r="A107" t="s">
        <v>451</v>
      </c>
      <c r="B107" s="1" t="s">
        <v>752</v>
      </c>
      <c r="C107" t="s">
        <v>781</v>
      </c>
      <c r="D107" t="s">
        <v>320</v>
      </c>
      <c r="E107" s="2" t="str">
        <f>_xlfn.XLOOKUP(Cat_SKU[[#This Row],[Item]],CAT_MOD_v31[NÚMERO DE ARTÍCULO (SAP)],CAT_MOD_v31[RESUMIDO],"",0)</f>
        <v>Boxer BM150</v>
      </c>
      <c r="F107" s="2" t="str">
        <f>_xlfn.XLOOKUP(Cat_SKU[[#This Row],[Item]],CAT_MOD_v31[NÚMERO DE ARTÍCULO (SAP)],CAT_MOD_v31[COLOR],"",0)</f>
        <v>Blanco</v>
      </c>
      <c r="G107" s="2">
        <f>_xlfn.XLOOKUP(Cat_SKU[[#This Row],[Item]],CAT_MOD_v31[NÚMERO DE ARTÍCULO (SAP)],CAT_MOD_v31[AÑO],"",0)</f>
        <v>2022</v>
      </c>
    </row>
    <row r="108" spans="1:7" x14ac:dyDescent="0.35">
      <c r="A108" t="s">
        <v>451</v>
      </c>
      <c r="B108" s="1" t="s">
        <v>760</v>
      </c>
      <c r="C108" t="s">
        <v>780</v>
      </c>
      <c r="D108" t="s">
        <v>398</v>
      </c>
      <c r="E108" s="2" t="str">
        <f>_xlfn.XLOOKUP(Cat_SKU[[#This Row],[Item]],CAT_MOD_v31[NÚMERO DE ARTÍCULO (SAP)],CAT_MOD_v31[RESUMIDO],"",0)</f>
        <v>Pulsar LS125</v>
      </c>
      <c r="F108" s="2" t="str">
        <f>_xlfn.XLOOKUP(Cat_SKU[[#This Row],[Item]],CAT_MOD_v31[NÚMERO DE ARTÍCULO (SAP)],CAT_MOD_v31[COLOR],"",0)</f>
        <v>Amarillo</v>
      </c>
      <c r="G108" s="2">
        <f>_xlfn.XLOOKUP(Cat_SKU[[#This Row],[Item]],CAT_MOD_v31[NÚMERO DE ARTÍCULO (SAP)],CAT_MOD_v31[AÑO],"",0)</f>
        <v>2022</v>
      </c>
    </row>
    <row r="109" spans="1:7" x14ac:dyDescent="0.35">
      <c r="A109" t="s">
        <v>451</v>
      </c>
      <c r="B109" s="1" t="s">
        <v>753</v>
      </c>
      <c r="C109" t="s">
        <v>780</v>
      </c>
      <c r="D109" t="s">
        <v>323</v>
      </c>
      <c r="E109" s="2" t="str">
        <f>_xlfn.XLOOKUP(Cat_SKU[[#This Row],[Item]],CAT_MOD_v31[NÚMERO DE ARTÍCULO (SAP)],CAT_MOD_v31[RESUMIDO],"",0)</f>
        <v>Pulsar LS125</v>
      </c>
      <c r="F109" s="2" t="str">
        <f>_xlfn.XLOOKUP(Cat_SKU[[#This Row],[Item]],CAT_MOD_v31[NÚMERO DE ARTÍCULO (SAP)],CAT_MOD_v31[COLOR],"",0)</f>
        <v>Negro</v>
      </c>
      <c r="G109" s="2">
        <f>_xlfn.XLOOKUP(Cat_SKU[[#This Row],[Item]],CAT_MOD_v31[NÚMERO DE ARTÍCULO (SAP)],CAT_MOD_v31[AÑO],"",0)</f>
        <v>2022</v>
      </c>
    </row>
    <row r="110" spans="1:7" x14ac:dyDescent="0.35">
      <c r="A110" t="s">
        <v>451</v>
      </c>
      <c r="B110" s="1" t="s">
        <v>759</v>
      </c>
      <c r="C110" t="s">
        <v>784</v>
      </c>
      <c r="D110" t="s">
        <v>321</v>
      </c>
      <c r="E110" s="2" t="str">
        <f>_xlfn.XLOOKUP(Cat_SKU[[#This Row],[Item]],CAT_MOD_v31[NÚMERO DE ARTÍCULO (SAP)],CAT_MOD_v31[RESUMIDO],"",0)</f>
        <v>Dominar 250</v>
      </c>
      <c r="F110" s="2" t="str">
        <f>_xlfn.XLOOKUP(Cat_SKU[[#This Row],[Item]],CAT_MOD_v31[NÚMERO DE ARTÍCULO (SAP)],CAT_MOD_v31[COLOR],"",0)</f>
        <v>Rojo</v>
      </c>
      <c r="G110" s="2">
        <f>_xlfn.XLOOKUP(Cat_SKU[[#This Row],[Item]],CAT_MOD_v31[NÚMERO DE ARTÍCULO (SAP)],CAT_MOD_v31[AÑO],"",0)</f>
        <v>2022</v>
      </c>
    </row>
    <row r="111" spans="1:7" x14ac:dyDescent="0.35">
      <c r="A111" t="s">
        <v>451</v>
      </c>
      <c r="B111" s="1" t="s">
        <v>755</v>
      </c>
      <c r="C111" t="s">
        <v>784</v>
      </c>
      <c r="D111" t="s">
        <v>321</v>
      </c>
      <c r="E111" s="2" t="str">
        <f>_xlfn.XLOOKUP(Cat_SKU[[#This Row],[Item]],CAT_MOD_v31[NÚMERO DE ARTÍCULO (SAP)],CAT_MOD_v31[RESUMIDO],"",0)</f>
        <v>Dominar 250</v>
      </c>
      <c r="F111" s="2" t="str">
        <f>_xlfn.XLOOKUP(Cat_SKU[[#This Row],[Item]],CAT_MOD_v31[NÚMERO DE ARTÍCULO (SAP)],CAT_MOD_v31[COLOR],"",0)</f>
        <v>Rojo</v>
      </c>
      <c r="G111" s="2">
        <f>_xlfn.XLOOKUP(Cat_SKU[[#This Row],[Item]],CAT_MOD_v31[NÚMERO DE ARTÍCULO (SAP)],CAT_MOD_v31[AÑO],"",0)</f>
        <v>2022</v>
      </c>
    </row>
    <row r="112" spans="1:7" x14ac:dyDescent="0.35">
      <c r="A112" t="s">
        <v>451</v>
      </c>
      <c r="B112" s="1" t="s">
        <v>749</v>
      </c>
      <c r="C112" t="s">
        <v>783</v>
      </c>
      <c r="D112" t="s">
        <v>809</v>
      </c>
      <c r="E112" s="2" t="str">
        <f>_xlfn.XLOOKUP(Cat_SKU[[#This Row],[Item]],CAT_MOD_v31[NÚMERO DE ARTÍCULO (SAP)],CAT_MOD_v31[RESUMIDO],"",0)</f>
        <v>Dominar 400</v>
      </c>
      <c r="F112" s="2" t="str">
        <f>_xlfn.XLOOKUP(Cat_SKU[[#This Row],[Item]],CAT_MOD_v31[NÚMERO DE ARTÍCULO (SAP)],CAT_MOD_v31[COLOR],"",0)</f>
        <v>Verde</v>
      </c>
      <c r="G112" s="2">
        <f>_xlfn.XLOOKUP(Cat_SKU[[#This Row],[Item]],CAT_MOD_v31[NÚMERO DE ARTÍCULO (SAP)],CAT_MOD_v31[AÑO],"",0)</f>
        <v>2022</v>
      </c>
    </row>
    <row r="113" spans="1:7" x14ac:dyDescent="0.35">
      <c r="A113" t="s">
        <v>451</v>
      </c>
      <c r="B113" s="1" t="s">
        <v>754</v>
      </c>
      <c r="C113" t="s">
        <v>775</v>
      </c>
      <c r="D113" t="s">
        <v>319</v>
      </c>
      <c r="E113" s="2" t="str">
        <f>_xlfn.XLOOKUP(Cat_SKU[[#This Row],[Item]],CAT_MOD_v31[NÚMERO DE ARTÍCULO (SAP)],CAT_MOD_v31[RESUMIDO],"",0)</f>
        <v>Avenger Cruise 220</v>
      </c>
      <c r="F113" s="2" t="str">
        <f>_xlfn.XLOOKUP(Cat_SKU[[#This Row],[Item]],CAT_MOD_v31[NÚMERO DE ARTÍCULO (SAP)],CAT_MOD_v31[COLOR],"",0)</f>
        <v>Negro</v>
      </c>
      <c r="G113" s="2">
        <f>_xlfn.XLOOKUP(Cat_SKU[[#This Row],[Item]],CAT_MOD_v31[NÚMERO DE ARTÍCULO (SAP)],CAT_MOD_v31[AÑO],"",0)</f>
        <v>2022</v>
      </c>
    </row>
    <row r="114" spans="1:7" x14ac:dyDescent="0.35">
      <c r="A114" t="s">
        <v>451</v>
      </c>
      <c r="B114" s="1" t="s">
        <v>757</v>
      </c>
      <c r="C114" t="s">
        <v>782</v>
      </c>
      <c r="D114" t="s">
        <v>377</v>
      </c>
      <c r="E114" s="2" t="str">
        <f>_xlfn.XLOOKUP(Cat_SKU[[#This Row],[Item]],CAT_MOD_v31[NÚMERO DE ARTÍCULO (SAP)],CAT_MOD_v31[RESUMIDO],"",0)</f>
        <v>Pulsar RS200</v>
      </c>
      <c r="F114" s="2" t="str">
        <f>_xlfn.XLOOKUP(Cat_SKU[[#This Row],[Item]],CAT_MOD_v31[NÚMERO DE ARTÍCULO (SAP)],CAT_MOD_v31[COLOR],"",0)</f>
        <v>Negro</v>
      </c>
      <c r="G114" s="2">
        <f>_xlfn.XLOOKUP(Cat_SKU[[#This Row],[Item]],CAT_MOD_v31[NÚMERO DE ARTÍCULO (SAP)],CAT_MOD_v31[AÑO],"",0)</f>
        <v>2022</v>
      </c>
    </row>
    <row r="115" spans="1:7" x14ac:dyDescent="0.35">
      <c r="A115" t="s">
        <v>451</v>
      </c>
      <c r="B115" s="1" t="s">
        <v>751</v>
      </c>
      <c r="C115" t="s">
        <v>776</v>
      </c>
      <c r="D115" t="s">
        <v>810</v>
      </c>
      <c r="E115" s="2" t="str">
        <f>_xlfn.XLOOKUP(Cat_SKU[[#This Row],[Item]],CAT_MOD_v31[NÚMERO DE ARTÍCULO (SAP)],CAT_MOD_v31[RESUMIDO],"",0)</f>
        <v>Pulsar NS200</v>
      </c>
      <c r="F115" s="2" t="str">
        <f>_xlfn.XLOOKUP(Cat_SKU[[#This Row],[Item]],CAT_MOD_v31[NÚMERO DE ARTÍCULO (SAP)],CAT_MOD_v31[COLOR],"",0)</f>
        <v>Perla</v>
      </c>
      <c r="G115" s="2">
        <f>_xlfn.XLOOKUP(Cat_SKU[[#This Row],[Item]],CAT_MOD_v31[NÚMERO DE ARTÍCULO (SAP)],CAT_MOD_v31[AÑO],"",0)</f>
        <v>2022</v>
      </c>
    </row>
    <row r="116" spans="1:7" x14ac:dyDescent="0.35">
      <c r="A116" t="s">
        <v>451</v>
      </c>
      <c r="B116" s="1" t="s">
        <v>758</v>
      </c>
      <c r="C116" t="s">
        <v>777</v>
      </c>
      <c r="D116" t="s">
        <v>411</v>
      </c>
      <c r="E116" s="2" t="str">
        <f>_xlfn.XLOOKUP(Cat_SKU[[#This Row],[Item]],CAT_MOD_v31[NÚMERO DE ARTÍCULO (SAP)],CAT_MOD_v31[RESUMIDO],"",0)</f>
        <v>Pulsar NS160</v>
      </c>
      <c r="F116" s="2" t="str">
        <f>_xlfn.XLOOKUP(Cat_SKU[[#This Row],[Item]],CAT_MOD_v31[NÚMERO DE ARTÍCULO (SAP)],CAT_MOD_v31[COLOR],"",0)</f>
        <v>Perla</v>
      </c>
      <c r="G116" s="2">
        <f>_xlfn.XLOOKUP(Cat_SKU[[#This Row],[Item]],CAT_MOD_v31[NÚMERO DE ARTÍCULO (SAP)],CAT_MOD_v31[AÑO],"",0)</f>
        <v>2022</v>
      </c>
    </row>
    <row r="117" spans="1:7" x14ac:dyDescent="0.35">
      <c r="A117" t="s">
        <v>451</v>
      </c>
      <c r="B117" s="1" t="s">
        <v>521</v>
      </c>
      <c r="D117" t="s">
        <v>586</v>
      </c>
      <c r="E117" s="2" t="str">
        <f>_xlfn.XLOOKUP(Cat_SKU[[#This Row],[Item]],CAT_MOD_v31[NÚMERO DE ARTÍCULO (SAP)],CAT_MOD_v31[RESUMIDO],"",0)</f>
        <v>Pulsar 200 FI</v>
      </c>
      <c r="F117" s="2" t="str">
        <f>_xlfn.XLOOKUP(Cat_SKU[[#This Row],[Item]],CAT_MOD_v31[NÚMERO DE ARTÍCULO (SAP)],CAT_MOD_v31[COLOR],"",0)</f>
        <v>Gris</v>
      </c>
      <c r="G117" s="2">
        <f>_xlfn.XLOOKUP(Cat_SKU[[#This Row],[Item]],CAT_MOD_v31[NÚMERO DE ARTÍCULO (SAP)],CAT_MOD_v31[AÑO],"",0)</f>
        <v>2022</v>
      </c>
    </row>
    <row r="118" spans="1:7" x14ac:dyDescent="0.35">
      <c r="A118" t="s">
        <v>451</v>
      </c>
      <c r="B118" s="1" t="s">
        <v>750</v>
      </c>
      <c r="C118" t="s">
        <v>780</v>
      </c>
      <c r="D118" t="s">
        <v>399</v>
      </c>
      <c r="E118" s="2" t="str">
        <f>_xlfn.XLOOKUP(Cat_SKU[[#This Row],[Item]],CAT_MOD_v31[NÚMERO DE ARTÍCULO (SAP)],CAT_MOD_v31[RESUMIDO],"",0)</f>
        <v>Pulsar LS125</v>
      </c>
      <c r="F118" s="2" t="str">
        <f>_xlfn.XLOOKUP(Cat_SKU[[#This Row],[Item]],CAT_MOD_v31[NÚMERO DE ARTÍCULO (SAP)],CAT_MOD_v31[COLOR],"",0)</f>
        <v>Negro</v>
      </c>
      <c r="G118" s="2">
        <f>_xlfn.XLOOKUP(Cat_SKU[[#This Row],[Item]],CAT_MOD_v31[NÚMERO DE ARTÍCULO (SAP)],CAT_MOD_v31[AÑO],"",0)</f>
        <v>2021</v>
      </c>
    </row>
    <row r="119" spans="1:7" x14ac:dyDescent="0.35">
      <c r="A119" t="s">
        <v>451</v>
      </c>
      <c r="B119" s="1" t="s">
        <v>520</v>
      </c>
      <c r="D119" t="s">
        <v>585</v>
      </c>
      <c r="E119" s="2" t="str">
        <f>_xlfn.XLOOKUP(Cat_SKU[[#This Row],[Item]],CAT_MOD_v31[NÚMERO DE ARTÍCULO (SAP)],CAT_MOD_v31[RESUMIDO],"",0)</f>
        <v>Platina ES100</v>
      </c>
      <c r="F119" s="2" t="str">
        <f>_xlfn.XLOOKUP(Cat_SKU[[#This Row],[Item]],CAT_MOD_v31[NÚMERO DE ARTÍCULO (SAP)],CAT_MOD_v31[COLOR],"",0)</f>
        <v>Rojo</v>
      </c>
      <c r="G119" s="2">
        <f>_xlfn.XLOOKUP(Cat_SKU[[#This Row],[Item]],CAT_MOD_v31[NÚMERO DE ARTÍCULO (SAP)],CAT_MOD_v31[AÑO],"",0)</f>
        <v>2022</v>
      </c>
    </row>
    <row r="120" spans="1:7" x14ac:dyDescent="0.35">
      <c r="A120" t="s">
        <v>451</v>
      </c>
      <c r="B120" s="1" t="s">
        <v>514</v>
      </c>
      <c r="D120" t="s">
        <v>328</v>
      </c>
      <c r="E120" s="2" t="str">
        <f>_xlfn.XLOOKUP(Cat_SKU[[#This Row],[Item]],CAT_MOD_v31[NÚMERO DE ARTÍCULO (SAP)],CAT_MOD_v31[RESUMIDO],"",0)</f>
        <v>Boxer BM150</v>
      </c>
      <c r="F120" s="2" t="str">
        <f>_xlfn.XLOOKUP(Cat_SKU[[#This Row],[Item]],CAT_MOD_v31[NÚMERO DE ARTÍCULO (SAP)],CAT_MOD_v31[COLOR],"",0)</f>
        <v>Blanco</v>
      </c>
      <c r="G120" s="2">
        <f>_xlfn.XLOOKUP(Cat_SKU[[#This Row],[Item]],CAT_MOD_v31[NÚMERO DE ARTÍCULO (SAP)],CAT_MOD_v31[AÑO],"",0)</f>
        <v>2023</v>
      </c>
    </row>
    <row r="121" spans="1:7" x14ac:dyDescent="0.35">
      <c r="A121" t="s">
        <v>451</v>
      </c>
      <c r="B121" s="1" t="s">
        <v>762</v>
      </c>
      <c r="C121" t="s">
        <v>780</v>
      </c>
      <c r="D121" t="s">
        <v>316</v>
      </c>
      <c r="E121" s="2" t="str">
        <f>_xlfn.XLOOKUP(Cat_SKU[[#This Row],[Item]],CAT_MOD_v31[NÚMERO DE ARTÍCULO (SAP)],CAT_MOD_v31[RESUMIDO],"",0)</f>
        <v>Pulsar LS125</v>
      </c>
      <c r="F121" s="2" t="str">
        <f>_xlfn.XLOOKUP(Cat_SKU[[#This Row],[Item]],CAT_MOD_v31[NÚMERO DE ARTÍCULO (SAP)],CAT_MOD_v31[COLOR],"",0)</f>
        <v>Negro</v>
      </c>
      <c r="G121" s="2">
        <f>_xlfn.XLOOKUP(Cat_SKU[[#This Row],[Item]],CAT_MOD_v31[NÚMERO DE ARTÍCULO (SAP)],CAT_MOD_v31[AÑO],"",0)</f>
        <v>2023</v>
      </c>
    </row>
    <row r="122" spans="1:7" x14ac:dyDescent="0.35">
      <c r="A122" t="s">
        <v>451</v>
      </c>
      <c r="B122" s="1" t="s">
        <v>516</v>
      </c>
      <c r="D122" t="s">
        <v>368</v>
      </c>
      <c r="E122" s="2" t="str">
        <f>_xlfn.XLOOKUP(Cat_SKU[[#This Row],[Item]],CAT_MOD_v31[NÚMERO DE ARTÍCULO (SAP)],CAT_MOD_v31[RESUMIDO],"",0)</f>
        <v>Avenger Cruise 220</v>
      </c>
      <c r="F122" s="2" t="str">
        <f>_xlfn.XLOOKUP(Cat_SKU[[#This Row],[Item]],CAT_MOD_v31[NÚMERO DE ARTÍCULO (SAP)],CAT_MOD_v31[COLOR],"",0)</f>
        <v>Negro</v>
      </c>
      <c r="G122" s="2">
        <f>_xlfn.XLOOKUP(Cat_SKU[[#This Row],[Item]],CAT_MOD_v31[NÚMERO DE ARTÍCULO (SAP)],CAT_MOD_v31[AÑO],"",0)</f>
        <v>2023</v>
      </c>
    </row>
    <row r="123" spans="1:7" x14ac:dyDescent="0.35">
      <c r="A123" t="s">
        <v>451</v>
      </c>
      <c r="B123" s="1" t="s">
        <v>513</v>
      </c>
      <c r="D123" t="s">
        <v>341</v>
      </c>
      <c r="E123" s="2" t="str">
        <f>_xlfn.XLOOKUP(Cat_SKU[[#This Row],[Item]],CAT_MOD_v31[NÚMERO DE ARTÍCULO (SAP)],CAT_MOD_v31[RESUMIDO],"",0)</f>
        <v>Pulsar RS200</v>
      </c>
      <c r="F123" s="2" t="str">
        <f>_xlfn.XLOOKUP(Cat_SKU[[#This Row],[Item]],CAT_MOD_v31[NÚMERO DE ARTÍCULO (SAP)],CAT_MOD_v31[COLOR],"",0)</f>
        <v>Gris</v>
      </c>
      <c r="G123" s="2">
        <f>_xlfn.XLOOKUP(Cat_SKU[[#This Row],[Item]],CAT_MOD_v31[NÚMERO DE ARTÍCULO (SAP)],CAT_MOD_v31[AÑO],"",0)</f>
        <v>2023</v>
      </c>
    </row>
    <row r="124" spans="1:7" x14ac:dyDescent="0.35">
      <c r="A124" t="s">
        <v>451</v>
      </c>
      <c r="B124" s="1" t="s">
        <v>517</v>
      </c>
      <c r="D124" t="s">
        <v>317</v>
      </c>
      <c r="E124" s="2" t="str">
        <f>_xlfn.XLOOKUP(Cat_SKU[[#This Row],[Item]],CAT_MOD_v31[NÚMERO DE ARTÍCULO (SAP)],CAT_MOD_v31[RESUMIDO],"",0)</f>
        <v>Pulsar NS200</v>
      </c>
      <c r="F124" s="2" t="str">
        <f>_xlfn.XLOOKUP(Cat_SKU[[#This Row],[Item]],CAT_MOD_v31[NÚMERO DE ARTÍCULO (SAP)],CAT_MOD_v31[COLOR],"",0)</f>
        <v>Gris</v>
      </c>
      <c r="G124" s="2">
        <f>_xlfn.XLOOKUP(Cat_SKU[[#This Row],[Item]],CAT_MOD_v31[NÚMERO DE ARTÍCULO (SAP)],CAT_MOD_v31[AÑO],"",0)</f>
        <v>2023</v>
      </c>
    </row>
    <row r="125" spans="1:7" x14ac:dyDescent="0.35">
      <c r="A125" t="s">
        <v>451</v>
      </c>
      <c r="B125" s="1" t="s">
        <v>519</v>
      </c>
      <c r="D125" t="s">
        <v>335</v>
      </c>
      <c r="E125" s="2" t="str">
        <f>_xlfn.XLOOKUP(Cat_SKU[[#This Row],[Item]],CAT_MOD_v31[NÚMERO DE ARTÍCULO (SAP)],CAT_MOD_v31[RESUMIDO],"",0)</f>
        <v>Pulsar NS160</v>
      </c>
      <c r="F125" s="2" t="str">
        <f>_xlfn.XLOOKUP(Cat_SKU[[#This Row],[Item]],CAT_MOD_v31[NÚMERO DE ARTÍCULO (SAP)],CAT_MOD_v31[COLOR],"",0)</f>
        <v>Gris</v>
      </c>
      <c r="G125" s="2">
        <f>_xlfn.XLOOKUP(Cat_SKU[[#This Row],[Item]],CAT_MOD_v31[NÚMERO DE ARTÍCULO (SAP)],CAT_MOD_v31[AÑO],"",0)</f>
        <v>2023</v>
      </c>
    </row>
    <row r="126" spans="1:7" x14ac:dyDescent="0.35">
      <c r="A126" t="s">
        <v>451</v>
      </c>
      <c r="B126" s="1" t="s">
        <v>518</v>
      </c>
      <c r="D126" t="s">
        <v>329</v>
      </c>
      <c r="E126" s="2" t="str">
        <f>_xlfn.XLOOKUP(Cat_SKU[[#This Row],[Item]],CAT_MOD_v31[NÚMERO DE ARTÍCULO (SAP)],CAT_MOD_v31[RESUMIDO],"",0)</f>
        <v>Dominar 250</v>
      </c>
      <c r="F126" s="2" t="str">
        <f>_xlfn.XLOOKUP(Cat_SKU[[#This Row],[Item]],CAT_MOD_v31[NÚMERO DE ARTÍCULO (SAP)],CAT_MOD_v31[COLOR],"",0)</f>
        <v>Negro</v>
      </c>
      <c r="G126" s="2">
        <f>_xlfn.XLOOKUP(Cat_SKU[[#This Row],[Item]],CAT_MOD_v31[NÚMERO DE ARTÍCULO (SAP)],CAT_MOD_v31[AÑO],"",0)</f>
        <v>2023</v>
      </c>
    </row>
    <row r="127" spans="1:7" x14ac:dyDescent="0.35">
      <c r="A127" t="s">
        <v>451</v>
      </c>
      <c r="B127" s="1" t="s">
        <v>763</v>
      </c>
      <c r="C127" t="s">
        <v>779</v>
      </c>
      <c r="D127" t="s">
        <v>337</v>
      </c>
      <c r="E127" s="2" t="str">
        <f>_xlfn.XLOOKUP(Cat_SKU[[#This Row],[Item]],CAT_MOD_v31[NÚMERO DE ARTÍCULO (SAP)],CAT_MOD_v31[RESUMIDO],"",0)</f>
        <v>Pulsar N250 FI ABS</v>
      </c>
      <c r="F127" s="2" t="str">
        <f>_xlfn.XLOOKUP(Cat_SKU[[#This Row],[Item]],CAT_MOD_v31[NÚMERO DE ARTÍCULO (SAP)],CAT_MOD_v31[COLOR],"",0)</f>
        <v>Negro</v>
      </c>
      <c r="G127" s="2">
        <f>_xlfn.XLOOKUP(Cat_SKU[[#This Row],[Item]],CAT_MOD_v31[NÚMERO DE ARTÍCULO (SAP)],CAT_MOD_v31[AÑO],"",0)</f>
        <v>2023</v>
      </c>
    </row>
    <row r="128" spans="1:7" x14ac:dyDescent="0.35">
      <c r="A128" t="s">
        <v>451</v>
      </c>
      <c r="B128" s="1" t="s">
        <v>511</v>
      </c>
      <c r="D128" t="s">
        <v>584</v>
      </c>
      <c r="E128" s="2" t="str">
        <f>_xlfn.XLOOKUP(Cat_SKU[[#This Row],[Item]],CAT_MOD_v31[NÚMERO DE ARTÍCULO (SAP)],CAT_MOD_v31[RESUMIDO],"",0)</f>
        <v>Platina ES100</v>
      </c>
      <c r="F128" s="2" t="str">
        <f>_xlfn.XLOOKUP(Cat_SKU[[#This Row],[Item]],CAT_MOD_v31[NÚMERO DE ARTÍCULO (SAP)],CAT_MOD_v31[COLOR],"",0)</f>
        <v>Rojo</v>
      </c>
      <c r="G128" s="2">
        <f>_xlfn.XLOOKUP(Cat_SKU[[#This Row],[Item]],CAT_MOD_v31[NÚMERO DE ARTÍCULO (SAP)],CAT_MOD_v31[AÑO],"",0)</f>
        <v>2023</v>
      </c>
    </row>
    <row r="129" spans="1:7" x14ac:dyDescent="0.35">
      <c r="A129" t="s">
        <v>451</v>
      </c>
      <c r="B129" s="1" t="s">
        <v>515</v>
      </c>
      <c r="D129" t="s">
        <v>336</v>
      </c>
      <c r="E129" s="2" t="str">
        <f>_xlfn.XLOOKUP(Cat_SKU[[#This Row],[Item]],CAT_MOD_v31[NÚMERO DE ARTÍCULO (SAP)],CAT_MOD_v31[RESUMIDO],"",0)</f>
        <v>Pulsar N160 FI ABS</v>
      </c>
      <c r="F129" s="2" t="str">
        <f>_xlfn.XLOOKUP(Cat_SKU[[#This Row],[Item]],CAT_MOD_v31[NÚMERO DE ARTÍCULO (SAP)],CAT_MOD_v31[COLOR],"",0)</f>
        <v>Negro</v>
      </c>
      <c r="G129" s="2">
        <f>_xlfn.XLOOKUP(Cat_SKU[[#This Row],[Item]],CAT_MOD_v31[NÚMERO DE ARTÍCULO (SAP)],CAT_MOD_v31[AÑO],"",0)</f>
        <v>2023</v>
      </c>
    </row>
    <row r="130" spans="1:7" x14ac:dyDescent="0.35">
      <c r="A130" t="s">
        <v>451</v>
      </c>
      <c r="B130" s="1" t="s">
        <v>764</v>
      </c>
      <c r="C130" t="s">
        <v>779</v>
      </c>
      <c r="D130" t="s">
        <v>294</v>
      </c>
      <c r="E130" s="2" t="str">
        <f>_xlfn.XLOOKUP(Cat_SKU[[#This Row],[Item]],CAT_MOD_v31[NÚMERO DE ARTÍCULO (SAP)],CAT_MOD_v31[RESUMIDO],"",0)</f>
        <v>Pulsar N250 FI ABS</v>
      </c>
      <c r="F130" s="2" t="str">
        <f>_xlfn.XLOOKUP(Cat_SKU[[#This Row],[Item]],CAT_MOD_v31[NÚMERO DE ARTÍCULO (SAP)],CAT_MOD_v31[COLOR],"",0)</f>
        <v>Negro</v>
      </c>
      <c r="G130" s="2">
        <f>_xlfn.XLOOKUP(Cat_SKU[[#This Row],[Item]],CAT_MOD_v31[NÚMERO DE ARTÍCULO (SAP)],CAT_MOD_v31[AÑO],"",0)</f>
        <v>2024</v>
      </c>
    </row>
    <row r="131" spans="1:7" x14ac:dyDescent="0.35">
      <c r="A131" t="s">
        <v>451</v>
      </c>
      <c r="B131" s="1" t="s">
        <v>497</v>
      </c>
      <c r="D131" t="s">
        <v>299</v>
      </c>
      <c r="E131" s="2" t="str">
        <f>_xlfn.XLOOKUP(Cat_SKU[[#This Row],[Item]],CAT_MOD_v31[NÚMERO DE ARTÍCULO (SAP)],CAT_MOD_v31[RESUMIDO],"",0)</f>
        <v>Boxer BM150</v>
      </c>
      <c r="F131" s="2" t="str">
        <f>_xlfn.XLOOKUP(Cat_SKU[[#This Row],[Item]],CAT_MOD_v31[NÚMERO DE ARTÍCULO (SAP)],CAT_MOD_v31[COLOR],"",0)</f>
        <v>Blanco</v>
      </c>
      <c r="G131" s="2">
        <f>_xlfn.XLOOKUP(Cat_SKU[[#This Row],[Item]],CAT_MOD_v31[NÚMERO DE ARTÍCULO (SAP)],CAT_MOD_v31[AÑO],"",0)</f>
        <v>2024</v>
      </c>
    </row>
    <row r="132" spans="1:7" x14ac:dyDescent="0.35">
      <c r="A132" t="s">
        <v>451</v>
      </c>
      <c r="B132" s="1" t="s">
        <v>512</v>
      </c>
      <c r="D132" t="s">
        <v>351</v>
      </c>
      <c r="E132" s="2" t="str">
        <f>_xlfn.XLOOKUP(Cat_SKU[[#This Row],[Item]],CAT_MOD_v31[NÚMERO DE ARTÍCULO (SAP)],CAT_MOD_v31[RESUMIDO],"",0)</f>
        <v>Pulsar LS125</v>
      </c>
      <c r="F132" s="2" t="str">
        <f>_xlfn.XLOOKUP(Cat_SKU[[#This Row],[Item]],CAT_MOD_v31[NÚMERO DE ARTÍCULO (SAP)],CAT_MOD_v31[COLOR],"",0)</f>
        <v>Amarillo</v>
      </c>
      <c r="G132" s="2">
        <f>_xlfn.XLOOKUP(Cat_SKU[[#This Row],[Item]],CAT_MOD_v31[NÚMERO DE ARTÍCULO (SAP)],CAT_MOD_v31[AÑO],"",0)</f>
        <v>2024</v>
      </c>
    </row>
    <row r="133" spans="1:7" x14ac:dyDescent="0.35">
      <c r="A133" t="s">
        <v>451</v>
      </c>
      <c r="B133" s="1" t="s">
        <v>508</v>
      </c>
      <c r="D133" t="s">
        <v>352</v>
      </c>
      <c r="E133" s="2" t="str">
        <f>_xlfn.XLOOKUP(Cat_SKU[[#This Row],[Item]],CAT_MOD_v31[NÚMERO DE ARTÍCULO (SAP)],CAT_MOD_v31[RESUMIDO],"",0)</f>
        <v>Pulsar LS125</v>
      </c>
      <c r="F133" s="2" t="str">
        <f>_xlfn.XLOOKUP(Cat_SKU[[#This Row],[Item]],CAT_MOD_v31[NÚMERO DE ARTÍCULO (SAP)],CAT_MOD_v31[COLOR],"",0)</f>
        <v>Negro</v>
      </c>
      <c r="G133" s="2">
        <f>_xlfn.XLOOKUP(Cat_SKU[[#This Row],[Item]],CAT_MOD_v31[NÚMERO DE ARTÍCULO (SAP)],CAT_MOD_v31[AÑO],"",0)</f>
        <v>2024</v>
      </c>
    </row>
    <row r="134" spans="1:7" x14ac:dyDescent="0.35">
      <c r="A134" t="s">
        <v>451</v>
      </c>
      <c r="B134" s="1" t="s">
        <v>496</v>
      </c>
      <c r="D134" t="s">
        <v>301</v>
      </c>
      <c r="E134" s="2" t="str">
        <f>_xlfn.XLOOKUP(Cat_SKU[[#This Row],[Item]],CAT_MOD_v31[NÚMERO DE ARTÍCULO (SAP)],CAT_MOD_v31[RESUMIDO],"",0)</f>
        <v>Pulsar RS200</v>
      </c>
      <c r="F134" s="2" t="str">
        <f>_xlfn.XLOOKUP(Cat_SKU[[#This Row],[Item]],CAT_MOD_v31[NÚMERO DE ARTÍCULO (SAP)],CAT_MOD_v31[COLOR],"",0)</f>
        <v>Gris</v>
      </c>
      <c r="G134" s="2">
        <f>_xlfn.XLOOKUP(Cat_SKU[[#This Row],[Item]],CAT_MOD_v31[NÚMERO DE ARTÍCULO (SAP)],CAT_MOD_v31[AÑO],"",0)</f>
        <v>2024</v>
      </c>
    </row>
    <row r="135" spans="1:7" x14ac:dyDescent="0.35">
      <c r="A135" t="s">
        <v>451</v>
      </c>
      <c r="B135" s="1" t="s">
        <v>501</v>
      </c>
      <c r="D135" t="s">
        <v>355</v>
      </c>
      <c r="E135" s="2" t="str">
        <f>_xlfn.XLOOKUP(Cat_SKU[[#This Row],[Item]],CAT_MOD_v31[NÚMERO DE ARTÍCULO (SAP)],CAT_MOD_v31[RESUMIDO],"",0)</f>
        <v>Pulsar RS200</v>
      </c>
      <c r="F135" s="2" t="str">
        <f>_xlfn.XLOOKUP(Cat_SKU[[#This Row],[Item]],CAT_MOD_v31[NÚMERO DE ARTÍCULO (SAP)],CAT_MOD_v31[COLOR],"",0)</f>
        <v>Perla</v>
      </c>
      <c r="G135" s="2">
        <f>_xlfn.XLOOKUP(Cat_SKU[[#This Row],[Item]],CAT_MOD_v31[NÚMERO DE ARTÍCULO (SAP)],CAT_MOD_v31[AÑO],"",0)</f>
        <v>2024</v>
      </c>
    </row>
    <row r="136" spans="1:7" x14ac:dyDescent="0.35">
      <c r="A136" t="s">
        <v>451</v>
      </c>
      <c r="B136" s="1" t="s">
        <v>500</v>
      </c>
      <c r="D136" t="s">
        <v>294</v>
      </c>
      <c r="E136" s="2" t="str">
        <f>_xlfn.XLOOKUP(Cat_SKU[[#This Row],[Item]],CAT_MOD_v31[NÚMERO DE ARTÍCULO (SAP)],CAT_MOD_v31[RESUMIDO],"",0)</f>
        <v>Pulsar N250 FI ABS</v>
      </c>
      <c r="F136" s="2" t="str">
        <f>_xlfn.XLOOKUP(Cat_SKU[[#This Row],[Item]],CAT_MOD_v31[NÚMERO DE ARTÍCULO (SAP)],CAT_MOD_v31[COLOR],"",0)</f>
        <v>Negro</v>
      </c>
      <c r="G136" s="2">
        <f>_xlfn.XLOOKUP(Cat_SKU[[#This Row],[Item]],CAT_MOD_v31[NÚMERO DE ARTÍCULO (SAP)],CAT_MOD_v31[AÑO],"",0)</f>
        <v>2024</v>
      </c>
    </row>
    <row r="137" spans="1:7" x14ac:dyDescent="0.35">
      <c r="A137" t="s">
        <v>451</v>
      </c>
      <c r="B137" s="1" t="s">
        <v>493</v>
      </c>
      <c r="D137" t="s">
        <v>293</v>
      </c>
      <c r="E137" s="2" t="str">
        <f>_xlfn.XLOOKUP(Cat_SKU[[#This Row],[Item]],CAT_MOD_v31[NÚMERO DE ARTÍCULO (SAP)],CAT_MOD_v31[RESUMIDO],"",0)</f>
        <v>Pulsar N160 FI ABS</v>
      </c>
      <c r="F137" s="2" t="str">
        <f>_xlfn.XLOOKUP(Cat_SKU[[#This Row],[Item]],CAT_MOD_v31[NÚMERO DE ARTÍCULO (SAP)],CAT_MOD_v31[COLOR],"",0)</f>
        <v>Negro</v>
      </c>
      <c r="G137" s="2">
        <f>_xlfn.XLOOKUP(Cat_SKU[[#This Row],[Item]],CAT_MOD_v31[NÚMERO DE ARTÍCULO (SAP)],CAT_MOD_v31[AÑO],"",0)</f>
        <v>2024</v>
      </c>
    </row>
    <row r="138" spans="1:7" x14ac:dyDescent="0.35">
      <c r="A138" t="s">
        <v>451</v>
      </c>
      <c r="B138" s="1" t="s">
        <v>502</v>
      </c>
      <c r="D138" t="s">
        <v>345</v>
      </c>
      <c r="E138" s="2" t="str">
        <f>_xlfn.XLOOKUP(Cat_SKU[[#This Row],[Item]],CAT_MOD_v31[NÚMERO DE ARTÍCULO (SAP)],CAT_MOD_v31[RESUMIDO],"",0)</f>
        <v>Dominar 250</v>
      </c>
      <c r="F138" s="2" t="str">
        <f>_xlfn.XLOOKUP(Cat_SKU[[#This Row],[Item]],CAT_MOD_v31[NÚMERO DE ARTÍCULO (SAP)],CAT_MOD_v31[COLOR],"",0)</f>
        <v>Negro</v>
      </c>
      <c r="G138" s="2">
        <f>_xlfn.XLOOKUP(Cat_SKU[[#This Row],[Item]],CAT_MOD_v31[NÚMERO DE ARTÍCULO (SAP)],CAT_MOD_v31[AÑO],"",0)</f>
        <v>2024</v>
      </c>
    </row>
    <row r="139" spans="1:7" x14ac:dyDescent="0.35">
      <c r="A139" t="s">
        <v>451</v>
      </c>
      <c r="B139" s="1" t="s">
        <v>506</v>
      </c>
      <c r="D139" t="s">
        <v>295</v>
      </c>
      <c r="E139" s="2" t="str">
        <f>_xlfn.XLOOKUP(Cat_SKU[[#This Row],[Item]],CAT_MOD_v31[NÚMERO DE ARTÍCULO (SAP)],CAT_MOD_v31[RESUMIDO],"",0)</f>
        <v>Pulsar NS160 UG</v>
      </c>
      <c r="F139" s="2" t="str">
        <f>_xlfn.XLOOKUP(Cat_SKU[[#This Row],[Item]],CAT_MOD_v31[NÚMERO DE ARTÍCULO (SAP)],CAT_MOD_v31[COLOR],"",0)</f>
        <v>Perla</v>
      </c>
      <c r="G139" s="2">
        <f>_xlfn.XLOOKUP(Cat_SKU[[#This Row],[Item]],CAT_MOD_v31[NÚMERO DE ARTÍCULO (SAP)],CAT_MOD_v31[AÑO],"",0)</f>
        <v>2024</v>
      </c>
    </row>
    <row r="140" spans="1:7" x14ac:dyDescent="0.35">
      <c r="A140" t="s">
        <v>451</v>
      </c>
      <c r="B140" s="1" t="s">
        <v>505</v>
      </c>
      <c r="D140" t="s">
        <v>292</v>
      </c>
      <c r="E140" s="2" t="str">
        <f>_xlfn.XLOOKUP(Cat_SKU[[#This Row],[Item]],CAT_MOD_v31[NÚMERO DE ARTÍCULO (SAP)],CAT_MOD_v31[RESUMIDO],"",0)</f>
        <v>Pulsar NS160 UG</v>
      </c>
      <c r="F140" s="2" t="str">
        <f>_xlfn.XLOOKUP(Cat_SKU[[#This Row],[Item]],CAT_MOD_v31[NÚMERO DE ARTÍCULO (SAP)],CAT_MOD_v31[COLOR],"",0)</f>
        <v>Gris</v>
      </c>
      <c r="G140" s="2">
        <f>_xlfn.XLOOKUP(Cat_SKU[[#This Row],[Item]],CAT_MOD_v31[NÚMERO DE ARTÍCULO (SAP)],CAT_MOD_v31[AÑO],"",0)</f>
        <v>2024</v>
      </c>
    </row>
    <row r="141" spans="1:7" x14ac:dyDescent="0.35">
      <c r="A141" t="s">
        <v>451</v>
      </c>
      <c r="B141" s="1" t="s">
        <v>495</v>
      </c>
      <c r="D141" t="s">
        <v>297</v>
      </c>
      <c r="E141" s="2" t="str">
        <f>_xlfn.XLOOKUP(Cat_SKU[[#This Row],[Item]],CAT_MOD_v31[NÚMERO DE ARTÍCULO (SAP)],CAT_MOD_v31[RESUMIDO],"",0)</f>
        <v>Dominar 400</v>
      </c>
      <c r="F141" s="2" t="str">
        <f>_xlfn.XLOOKUP(Cat_SKU[[#This Row],[Item]],CAT_MOD_v31[NÚMERO DE ARTÍCULO (SAP)],CAT_MOD_v31[COLOR],"",0)</f>
        <v>Negro</v>
      </c>
      <c r="G141" s="2">
        <f>_xlfn.XLOOKUP(Cat_SKU[[#This Row],[Item]],CAT_MOD_v31[NÚMERO DE ARTÍCULO (SAP)],CAT_MOD_v31[AÑO],"",0)</f>
        <v>2024</v>
      </c>
    </row>
    <row r="142" spans="1:7" x14ac:dyDescent="0.35">
      <c r="A142" t="s">
        <v>451</v>
      </c>
      <c r="B142" s="1" t="s">
        <v>498</v>
      </c>
      <c r="D142" t="s">
        <v>293</v>
      </c>
      <c r="E142" s="2" t="str">
        <f>_xlfn.XLOOKUP(Cat_SKU[[#This Row],[Item]],CAT_MOD_v31[NÚMERO DE ARTÍCULO (SAP)],CAT_MOD_v31[RESUMIDO],"",0)</f>
        <v>Pulsar N160 FI ABS</v>
      </c>
      <c r="F142" s="2" t="str">
        <f>_xlfn.XLOOKUP(Cat_SKU[[#This Row],[Item]],CAT_MOD_v31[NÚMERO DE ARTÍCULO (SAP)],CAT_MOD_v31[COLOR],"",0)</f>
        <v>Negro</v>
      </c>
      <c r="G142" s="2">
        <f>_xlfn.XLOOKUP(Cat_SKU[[#This Row],[Item]],CAT_MOD_v31[NÚMERO DE ARTÍCULO (SAP)],CAT_MOD_v31[AÑO],"",0)</f>
        <v>2024</v>
      </c>
    </row>
    <row r="143" spans="1:7" x14ac:dyDescent="0.35">
      <c r="A143" t="s">
        <v>451</v>
      </c>
      <c r="B143" s="1" t="s">
        <v>452</v>
      </c>
      <c r="C143" t="s">
        <v>543</v>
      </c>
      <c r="D143" t="s">
        <v>298</v>
      </c>
      <c r="E143" s="2" t="str">
        <f>_xlfn.XLOOKUP(Cat_SKU[[#This Row],[Item]],CAT_MOD_v31[NÚMERO DE ARTÍCULO (SAP)],CAT_MOD_v31[RESUMIDO],"",0)</f>
        <v>Pulsar NS200 UG</v>
      </c>
      <c r="F143" s="2" t="str">
        <f>_xlfn.XLOOKUP(Cat_SKU[[#This Row],[Item]],CAT_MOD_v31[NÚMERO DE ARTÍCULO (SAP)],CAT_MOD_v31[COLOR],"",0)</f>
        <v>Perla</v>
      </c>
      <c r="G143" s="2">
        <f>_xlfn.XLOOKUP(Cat_SKU[[#This Row],[Item]],CAT_MOD_v31[NÚMERO DE ARTÍCULO (SAP)],CAT_MOD_v31[AÑO],"",0)</f>
        <v>2024</v>
      </c>
    </row>
    <row r="144" spans="1:7" x14ac:dyDescent="0.35">
      <c r="A144" t="s">
        <v>451</v>
      </c>
      <c r="B144" s="1" t="s">
        <v>504</v>
      </c>
      <c r="D144" t="s">
        <v>302</v>
      </c>
      <c r="E144" s="2" t="str">
        <f>_xlfn.XLOOKUP(Cat_SKU[[#This Row],[Item]],CAT_MOD_v31[NÚMERO DE ARTÍCULO (SAP)],CAT_MOD_v31[RESUMIDO],"",0)</f>
        <v>Pulsar NS200 UG</v>
      </c>
      <c r="F144" s="2" t="str">
        <f>_xlfn.XLOOKUP(Cat_SKU[[#This Row],[Item]],CAT_MOD_v31[NÚMERO DE ARTÍCULO (SAP)],CAT_MOD_v31[COLOR],"",0)</f>
        <v>Gris</v>
      </c>
      <c r="G144" s="2">
        <f>_xlfn.XLOOKUP(Cat_SKU[[#This Row],[Item]],CAT_MOD_v31[NÚMERO DE ARTÍCULO (SAP)],CAT_MOD_v31[AÑO],"",0)</f>
        <v>2024</v>
      </c>
    </row>
    <row r="145" spans="1:7" x14ac:dyDescent="0.35">
      <c r="A145" t="s">
        <v>451</v>
      </c>
      <c r="B145" s="1" t="s">
        <v>499</v>
      </c>
      <c r="D145" t="s">
        <v>291</v>
      </c>
      <c r="E145" s="2" t="str">
        <f>_xlfn.XLOOKUP(Cat_SKU[[#This Row],[Item]],CAT_MOD_v31[NÚMERO DE ARTÍCULO (SAP)],CAT_MOD_v31[RESUMIDO],"",0)</f>
        <v>Pulsar NS200 UG</v>
      </c>
      <c r="F145" s="2" t="str">
        <f>_xlfn.XLOOKUP(Cat_SKU[[#This Row],[Item]],CAT_MOD_v31[NÚMERO DE ARTÍCULO (SAP)],CAT_MOD_v31[COLOR],"",0)</f>
        <v>Negro</v>
      </c>
      <c r="G145" s="2">
        <f>_xlfn.XLOOKUP(Cat_SKU[[#This Row],[Item]],CAT_MOD_v31[NÚMERO DE ARTÍCULO (SAP)],CAT_MOD_v31[AÑO],"",0)</f>
        <v>2024</v>
      </c>
    </row>
    <row r="146" spans="1:7" x14ac:dyDescent="0.35">
      <c r="A146" t="s">
        <v>451</v>
      </c>
      <c r="B146" s="1" t="s">
        <v>510</v>
      </c>
      <c r="D146" t="s">
        <v>290</v>
      </c>
      <c r="E146" s="2" t="str">
        <f>_xlfn.XLOOKUP(Cat_SKU[[#This Row],[Item]],CAT_MOD_v31[NÚMERO DE ARTÍCULO (SAP)],CAT_MOD_v31[RESUMIDO],"",0)</f>
        <v>Pulsar NS125 UG</v>
      </c>
      <c r="F146" s="2" t="str">
        <f>_xlfn.XLOOKUP(Cat_SKU[[#This Row],[Item]],CAT_MOD_v31[NÚMERO DE ARTÍCULO (SAP)],CAT_MOD_v31[COLOR],"",0)</f>
        <v>Naranja</v>
      </c>
      <c r="G146" s="2">
        <f>_xlfn.XLOOKUP(Cat_SKU[[#This Row],[Item]],CAT_MOD_v31[NÚMERO DE ARTÍCULO (SAP)],CAT_MOD_v31[AÑO],"",0)</f>
        <v>2024</v>
      </c>
    </row>
    <row r="147" spans="1:7" x14ac:dyDescent="0.35">
      <c r="A147" t="s">
        <v>451</v>
      </c>
      <c r="B147" s="1" t="s">
        <v>494</v>
      </c>
      <c r="D147" t="s">
        <v>346</v>
      </c>
      <c r="E147" s="2" t="str">
        <f>_xlfn.XLOOKUP(Cat_SKU[[#This Row],[Item]],CAT_MOD_v31[NÚMERO DE ARTÍCULO (SAP)],CAT_MOD_v31[RESUMIDO],"",0)</f>
        <v>Dominar 250</v>
      </c>
      <c r="F147" s="2" t="str">
        <f>_xlfn.XLOOKUP(Cat_SKU[[#This Row],[Item]],CAT_MOD_v31[NÚMERO DE ARTÍCULO (SAP)],CAT_MOD_v31[COLOR],"",0)</f>
        <v>Rojo</v>
      </c>
      <c r="G147" s="2">
        <f>_xlfn.XLOOKUP(Cat_SKU[[#This Row],[Item]],CAT_MOD_v31[NÚMERO DE ARTÍCULO (SAP)],CAT_MOD_v31[AÑO],"",0)</f>
        <v>2024</v>
      </c>
    </row>
    <row r="148" spans="1:7" x14ac:dyDescent="0.35">
      <c r="A148" t="s">
        <v>451</v>
      </c>
      <c r="B148" s="1" t="s">
        <v>507</v>
      </c>
      <c r="D148" t="s">
        <v>289</v>
      </c>
      <c r="E148" s="2" t="str">
        <f>_xlfn.XLOOKUP(Cat_SKU[[#This Row],[Item]],CAT_MOD_v31[NÚMERO DE ARTÍCULO (SAP)],CAT_MOD_v31[RESUMIDO],"",0)</f>
        <v>Pulsar NS125 UG</v>
      </c>
      <c r="F148" s="2" t="str">
        <f>_xlfn.XLOOKUP(Cat_SKU[[#This Row],[Item]],CAT_MOD_v31[NÚMERO DE ARTÍCULO (SAP)],CAT_MOD_v31[COLOR],"",0)</f>
        <v>Gris</v>
      </c>
      <c r="G148" s="2">
        <f>_xlfn.XLOOKUP(Cat_SKU[[#This Row],[Item]],CAT_MOD_v31[NÚMERO DE ARTÍCULO (SAP)],CAT_MOD_v31[AÑO],"",0)</f>
        <v>2024</v>
      </c>
    </row>
    <row r="149" spans="1:7" x14ac:dyDescent="0.35">
      <c r="A149" t="s">
        <v>451</v>
      </c>
      <c r="B149" s="1" t="s">
        <v>503</v>
      </c>
      <c r="D149" t="s">
        <v>303</v>
      </c>
      <c r="E149" s="2" t="str">
        <f>_xlfn.XLOOKUP(Cat_SKU[[#This Row],[Item]],CAT_MOD_v31[NÚMERO DE ARTÍCULO (SAP)],CAT_MOD_v31[RESUMIDO],"",0)</f>
        <v>Avenger Cruise 220</v>
      </c>
      <c r="F149" s="2" t="str">
        <f>_xlfn.XLOOKUP(Cat_SKU[[#This Row],[Item]],CAT_MOD_v31[NÚMERO DE ARTÍCULO (SAP)],CAT_MOD_v31[COLOR],"",0)</f>
        <v>Negro</v>
      </c>
      <c r="G149" s="2">
        <f>_xlfn.XLOOKUP(Cat_SKU[[#This Row],[Item]],CAT_MOD_v31[NÚMERO DE ARTÍCULO (SAP)],CAT_MOD_v31[AÑO],"",0)</f>
        <v>2024</v>
      </c>
    </row>
    <row r="150" spans="1:7" x14ac:dyDescent="0.35">
      <c r="A150" t="s">
        <v>451</v>
      </c>
      <c r="B150" s="1" t="s">
        <v>509</v>
      </c>
      <c r="D150" t="s">
        <v>261</v>
      </c>
      <c r="E150" s="2" t="str">
        <f>_xlfn.XLOOKUP(Cat_SKU[[#This Row],[Item]],CAT_MOD_v31[NÚMERO DE ARTÍCULO (SAP)],CAT_MOD_v31[RESUMIDO],"",0)</f>
        <v>Dominar 400</v>
      </c>
      <c r="F150" s="2" t="str">
        <f>_xlfn.XLOOKUP(Cat_SKU[[#This Row],[Item]],CAT_MOD_v31[NÚMERO DE ARTÍCULO (SAP)],CAT_MOD_v31[COLOR],"",0)</f>
        <v>Verde</v>
      </c>
      <c r="G150" s="2">
        <f>_xlfn.XLOOKUP(Cat_SKU[[#This Row],[Item]],CAT_MOD_v31[NÚMERO DE ARTÍCULO (SAP)],CAT_MOD_v31[AÑO],"",0)</f>
        <v>2025</v>
      </c>
    </row>
    <row r="151" spans="1:7" x14ac:dyDescent="0.35">
      <c r="A151" t="s">
        <v>451</v>
      </c>
      <c r="B151" s="1" t="s">
        <v>767</v>
      </c>
      <c r="C151" t="s">
        <v>800</v>
      </c>
      <c r="D151" t="s">
        <v>811</v>
      </c>
      <c r="E151" s="2" t="str">
        <f>_xlfn.XLOOKUP(Cat_SKU[[#This Row],[Item]],CAT_MOD_v31[NÚMERO DE ARTÍCULO (SAP)],CAT_MOD_v31[RESUMIDO],"",0)</f>
        <v/>
      </c>
      <c r="F151" s="2" t="str">
        <f>_xlfn.XLOOKUP(Cat_SKU[[#This Row],[Item]],CAT_MOD_v31[NÚMERO DE ARTÍCULO (SAP)],CAT_MOD_v31[COLOR],"",0)</f>
        <v/>
      </c>
      <c r="G151" s="2" t="str">
        <f>_xlfn.XLOOKUP(Cat_SKU[[#This Row],[Item]],CAT_MOD_v31[NÚMERO DE ARTÍCULO (SAP)],CAT_MOD_v31[AÑO],"",0)</f>
        <v/>
      </c>
    </row>
    <row r="152" spans="1:7" x14ac:dyDescent="0.35">
      <c r="A152" t="s">
        <v>451</v>
      </c>
      <c r="B152" s="1" t="s">
        <v>474</v>
      </c>
      <c r="C152" t="s">
        <v>565</v>
      </c>
      <c r="D152" t="s">
        <v>255</v>
      </c>
      <c r="E152" s="2" t="str">
        <f>_xlfn.XLOOKUP(Cat_SKU[[#This Row],[Item]],CAT_MOD_v31[NÚMERO DE ARTÍCULO (SAP)],CAT_MOD_v31[RESUMIDO],"",0)</f>
        <v>Avenger Cruise 220</v>
      </c>
      <c r="F152" s="2" t="str">
        <f>_xlfn.XLOOKUP(Cat_SKU[[#This Row],[Item]],CAT_MOD_v31[NÚMERO DE ARTÍCULO (SAP)],CAT_MOD_v31[COLOR],"",0)</f>
        <v>Negro</v>
      </c>
      <c r="G152" s="2">
        <f>_xlfn.XLOOKUP(Cat_SKU[[#This Row],[Item]],CAT_MOD_v31[NÚMERO DE ARTÍCULO (SAP)],CAT_MOD_v31[AÑO],"",0)</f>
        <v>2025</v>
      </c>
    </row>
    <row r="153" spans="1:7" x14ac:dyDescent="0.35">
      <c r="A153" t="s">
        <v>451</v>
      </c>
      <c r="B153" s="1" t="s">
        <v>475</v>
      </c>
      <c r="C153" t="s">
        <v>566</v>
      </c>
      <c r="D153" t="s">
        <v>256</v>
      </c>
      <c r="E153" s="2" t="str">
        <f>_xlfn.XLOOKUP(Cat_SKU[[#This Row],[Item]],CAT_MOD_v31[NÚMERO DE ARTÍCULO (SAP)],CAT_MOD_v31[RESUMIDO],"",0)</f>
        <v>Boxer BM150</v>
      </c>
      <c r="F153" s="2" t="str">
        <f>_xlfn.XLOOKUP(Cat_SKU[[#This Row],[Item]],CAT_MOD_v31[NÚMERO DE ARTÍCULO (SAP)],CAT_MOD_v31[COLOR],"",0)</f>
        <v>Blanco</v>
      </c>
      <c r="G153" s="2">
        <f>_xlfn.XLOOKUP(Cat_SKU[[#This Row],[Item]],CAT_MOD_v31[NÚMERO DE ARTÍCULO (SAP)],CAT_MOD_v31[AÑO],"",0)</f>
        <v>2025</v>
      </c>
    </row>
    <row r="154" spans="1:7" x14ac:dyDescent="0.35">
      <c r="A154" t="s">
        <v>451</v>
      </c>
      <c r="B154" s="1" t="s">
        <v>769</v>
      </c>
      <c r="C154" t="s">
        <v>801</v>
      </c>
      <c r="D154" t="s">
        <v>257</v>
      </c>
      <c r="E154" s="2" t="str">
        <f>_xlfn.XLOOKUP(Cat_SKU[[#This Row],[Item]],CAT_MOD_v31[NÚMERO DE ARTÍCULO (SAP)],CAT_MOD_v31[RESUMIDO],"",0)</f>
        <v>Boxer BM150</v>
      </c>
      <c r="F154" s="2" t="str">
        <f>_xlfn.XLOOKUP(Cat_SKU[[#This Row],[Item]],CAT_MOD_v31[NÚMERO DE ARTÍCULO (SAP)],CAT_MOD_v31[COLOR],"",0)</f>
        <v>Negro</v>
      </c>
      <c r="G154" s="2">
        <f>_xlfn.XLOOKUP(Cat_SKU[[#This Row],[Item]],CAT_MOD_v31[NÚMERO DE ARTÍCULO (SAP)],CAT_MOD_v31[AÑO],"",0)</f>
        <v>2025</v>
      </c>
    </row>
    <row r="155" spans="1:7" x14ac:dyDescent="0.35">
      <c r="A155" t="s">
        <v>451</v>
      </c>
      <c r="B155" s="1" t="s">
        <v>469</v>
      </c>
      <c r="C155" t="s">
        <v>560</v>
      </c>
      <c r="D155" t="s">
        <v>259</v>
      </c>
      <c r="E155" s="2" t="str">
        <f>_xlfn.XLOOKUP(Cat_SKU[[#This Row],[Item]],CAT_MOD_v31[NÚMERO DE ARTÍCULO (SAP)],CAT_MOD_v31[RESUMIDO],"",0)</f>
        <v>Dominar 250</v>
      </c>
      <c r="F155" s="2" t="str">
        <f>_xlfn.XLOOKUP(Cat_SKU[[#This Row],[Item]],CAT_MOD_v31[NÚMERO DE ARTÍCULO (SAP)],CAT_MOD_v31[COLOR],"",0)</f>
        <v>Negro</v>
      </c>
      <c r="G155" s="2">
        <f>_xlfn.XLOOKUP(Cat_SKU[[#This Row],[Item]],CAT_MOD_v31[NÚMERO DE ARTÍCULO (SAP)],CAT_MOD_v31[AÑO],"",0)</f>
        <v>2025</v>
      </c>
    </row>
    <row r="156" spans="1:7" x14ac:dyDescent="0.35">
      <c r="A156" t="s">
        <v>451</v>
      </c>
      <c r="B156" s="1" t="s">
        <v>530</v>
      </c>
      <c r="D156" t="s">
        <v>260</v>
      </c>
      <c r="E156" s="2" t="str">
        <f>_xlfn.XLOOKUP(Cat_SKU[[#This Row],[Item]],CAT_MOD_v31[NÚMERO DE ARTÍCULO (SAP)],CAT_MOD_v31[RESUMIDO],"",0)</f>
        <v>Dominar 250</v>
      </c>
      <c r="F156" s="2" t="str">
        <f>_xlfn.XLOOKUP(Cat_SKU[[#This Row],[Item]],CAT_MOD_v31[NÚMERO DE ARTÍCULO (SAP)],CAT_MOD_v31[COLOR],"",0)</f>
        <v>Rojo</v>
      </c>
      <c r="G156" s="2">
        <f>_xlfn.XLOOKUP(Cat_SKU[[#This Row],[Item]],CAT_MOD_v31[NÚMERO DE ARTÍCULO (SAP)],CAT_MOD_v31[AÑO],"",0)</f>
        <v>2025</v>
      </c>
    </row>
    <row r="157" spans="1:7" x14ac:dyDescent="0.35">
      <c r="A157" t="s">
        <v>451</v>
      </c>
      <c r="B157" s="1" t="s">
        <v>770</v>
      </c>
      <c r="C157" t="s">
        <v>802</v>
      </c>
      <c r="D157" t="s">
        <v>261</v>
      </c>
      <c r="E157" s="2" t="str">
        <f>_xlfn.XLOOKUP(Cat_SKU[[#This Row],[Item]],CAT_MOD_v31[NÚMERO DE ARTÍCULO (SAP)],CAT_MOD_v31[RESUMIDO],"",0)</f>
        <v>Dominar 400</v>
      </c>
      <c r="F157" s="2" t="str">
        <f>_xlfn.XLOOKUP(Cat_SKU[[#This Row],[Item]],CAT_MOD_v31[NÚMERO DE ARTÍCULO (SAP)],CAT_MOD_v31[COLOR],"",0)</f>
        <v>Verde</v>
      </c>
      <c r="G157" s="2">
        <f>_xlfn.XLOOKUP(Cat_SKU[[#This Row],[Item]],CAT_MOD_v31[NÚMERO DE ARTÍCULO (SAP)],CAT_MOD_v31[AÑO],"",0)</f>
        <v>2025</v>
      </c>
    </row>
    <row r="158" spans="1:7" x14ac:dyDescent="0.35">
      <c r="A158" t="s">
        <v>451</v>
      </c>
      <c r="B158" s="1" t="s">
        <v>771</v>
      </c>
      <c r="C158" t="s">
        <v>803</v>
      </c>
      <c r="D158" t="s">
        <v>258</v>
      </c>
      <c r="E158" s="2" t="str">
        <f>_xlfn.XLOOKUP(Cat_SKU[[#This Row],[Item]],CAT_MOD_v31[NÚMERO DE ARTÍCULO (SAP)],CAT_MOD_v31[RESUMIDO],"",0)</f>
        <v>Dominar 400</v>
      </c>
      <c r="F158" s="2" t="str">
        <f>_xlfn.XLOOKUP(Cat_SKU[[#This Row],[Item]],CAT_MOD_v31[NÚMERO DE ARTÍCULO (SAP)],CAT_MOD_v31[COLOR],"",0)</f>
        <v>Negro</v>
      </c>
      <c r="G158" s="2">
        <f>_xlfn.XLOOKUP(Cat_SKU[[#This Row],[Item]],CAT_MOD_v31[NÚMERO DE ARTÍCULO (SAP)],CAT_MOD_v31[AÑO],"",0)</f>
        <v>2025</v>
      </c>
    </row>
    <row r="159" spans="1:7" x14ac:dyDescent="0.35">
      <c r="A159" t="s">
        <v>451</v>
      </c>
      <c r="B159" s="1" t="s">
        <v>477</v>
      </c>
      <c r="C159" t="s">
        <v>568</v>
      </c>
      <c r="D159" t="s">
        <v>358</v>
      </c>
      <c r="E159" s="2" t="str">
        <f>_xlfn.XLOOKUP(Cat_SKU[[#This Row],[Item]],CAT_MOD_v31[NÚMERO DE ARTÍCULO (SAP)],CAT_MOD_v31[RESUMIDO],"",0)</f>
        <v>Pulsar N160 FI ABS UG</v>
      </c>
      <c r="F159" s="2" t="str">
        <f>_xlfn.XLOOKUP(Cat_SKU[[#This Row],[Item]],CAT_MOD_v31[NÚMERO DE ARTÍCULO (SAP)],CAT_MOD_v31[COLOR],"",0)</f>
        <v>Negro</v>
      </c>
      <c r="G159" s="2">
        <f>_xlfn.XLOOKUP(Cat_SKU[[#This Row],[Item]],CAT_MOD_v31[NÚMERO DE ARTÍCULO (SAP)],CAT_MOD_v31[AÑO],"",0)</f>
        <v>2025</v>
      </c>
    </row>
    <row r="160" spans="1:7" x14ac:dyDescent="0.35">
      <c r="A160" t="s">
        <v>451</v>
      </c>
      <c r="B160" s="1" t="s">
        <v>477</v>
      </c>
      <c r="C160" t="s">
        <v>778</v>
      </c>
      <c r="D160" t="s">
        <v>268</v>
      </c>
      <c r="E160" s="2" t="str">
        <f>_xlfn.XLOOKUP(Cat_SKU[[#This Row],[Item]],CAT_MOD_v31[NÚMERO DE ARTÍCULO (SAP)],CAT_MOD_v31[RESUMIDO],"",0)</f>
        <v>Pulsar N160 FI ABS</v>
      </c>
      <c r="F160" s="2" t="str">
        <f>_xlfn.XLOOKUP(Cat_SKU[[#This Row],[Item]],CAT_MOD_v31[NÚMERO DE ARTÍCULO (SAP)],CAT_MOD_v31[COLOR],"",0)</f>
        <v>Negro</v>
      </c>
      <c r="G160" s="2">
        <f>_xlfn.XLOOKUP(Cat_SKU[[#This Row],[Item]],CAT_MOD_v31[NÚMERO DE ARTÍCULO (SAP)],CAT_MOD_v31[AÑO],"",0)</f>
        <v>2025</v>
      </c>
    </row>
    <row r="161" spans="1:7" x14ac:dyDescent="0.35">
      <c r="A161" t="s">
        <v>451</v>
      </c>
      <c r="B161" s="1" t="s">
        <v>523</v>
      </c>
      <c r="D161" t="s">
        <v>304</v>
      </c>
      <c r="E161" s="2" t="str">
        <f>_xlfn.XLOOKUP(Cat_SKU[[#This Row],[Item]],CAT_MOD_v31[NÚMERO DE ARTÍCULO (SAP)],CAT_MOD_v31[RESUMIDO],"",0)</f>
        <v>Pulsar N160</v>
      </c>
      <c r="F161" s="2" t="str">
        <f>_xlfn.XLOOKUP(Cat_SKU[[#This Row],[Item]],CAT_MOD_v31[NÚMERO DE ARTÍCULO (SAP)],CAT_MOD_v31[COLOR],"",0)</f>
        <v>Negro</v>
      </c>
      <c r="G161" s="2">
        <f>_xlfn.XLOOKUP(Cat_SKU[[#This Row],[Item]],CAT_MOD_v31[NÚMERO DE ARTÍCULO (SAP)],CAT_MOD_v31[AÑO],"",0)</f>
        <v>2025</v>
      </c>
    </row>
    <row r="162" spans="1:7" x14ac:dyDescent="0.35">
      <c r="A162" t="s">
        <v>451</v>
      </c>
      <c r="B162" s="1" t="s">
        <v>522</v>
      </c>
      <c r="D162" t="s">
        <v>274</v>
      </c>
      <c r="E162" s="2" t="str">
        <f>_xlfn.XLOOKUP(Cat_SKU[[#This Row],[Item]],CAT_MOD_v31[NÚMERO DE ARTÍCULO (SAP)],CAT_MOD_v31[RESUMIDO],"",0)</f>
        <v>Pulsar N250 FI ABS</v>
      </c>
      <c r="F162" s="2" t="str">
        <f>_xlfn.XLOOKUP(Cat_SKU[[#This Row],[Item]],CAT_MOD_v31[NÚMERO DE ARTÍCULO (SAP)],CAT_MOD_v31[COLOR],"",0)</f>
        <v>Negro</v>
      </c>
      <c r="G162" s="2">
        <f>_xlfn.XLOOKUP(Cat_SKU[[#This Row],[Item]],CAT_MOD_v31[NÚMERO DE ARTÍCULO (SAP)],CAT_MOD_v31[AÑO],"",0)</f>
        <v>2025</v>
      </c>
    </row>
    <row r="163" spans="1:7" x14ac:dyDescent="0.35">
      <c r="A163" t="s">
        <v>451</v>
      </c>
      <c r="B163" s="1" t="s">
        <v>492</v>
      </c>
      <c r="D163" t="s">
        <v>300</v>
      </c>
      <c r="E163" s="2" t="str">
        <f>_xlfn.XLOOKUP(Cat_SKU[[#This Row],[Item]],CAT_MOD_v31[NÚMERO DE ARTÍCULO (SAP)],CAT_MOD_v31[RESUMIDO],"",0)</f>
        <v>Pulsar N250 FI ABS</v>
      </c>
      <c r="F163" s="2" t="str">
        <f>_xlfn.XLOOKUP(Cat_SKU[[#This Row],[Item]],CAT_MOD_v31[NÚMERO DE ARTÍCULO (SAP)],CAT_MOD_v31[COLOR],"",0)</f>
        <v>Rojo</v>
      </c>
      <c r="G163" s="2">
        <f>_xlfn.XLOOKUP(Cat_SKU[[#This Row],[Item]],CAT_MOD_v31[NÚMERO DE ARTÍCULO (SAP)],CAT_MOD_v31[AÑO],"",0)</f>
        <v>2025</v>
      </c>
    </row>
    <row r="164" spans="1:7" x14ac:dyDescent="0.35">
      <c r="A164" t="s">
        <v>451</v>
      </c>
      <c r="B164" s="1" t="s">
        <v>462</v>
      </c>
      <c r="C164" t="s">
        <v>553</v>
      </c>
      <c r="D164" t="s">
        <v>269</v>
      </c>
      <c r="E164" s="2" t="str">
        <f>_xlfn.XLOOKUP(Cat_SKU[[#This Row],[Item]],CAT_MOD_v31[NÚMERO DE ARTÍCULO (SAP)],CAT_MOD_v31[RESUMIDO],"",0)</f>
        <v>Pulsar NS125 UG</v>
      </c>
      <c r="F164" s="2" t="str">
        <f>_xlfn.XLOOKUP(Cat_SKU[[#This Row],[Item]],CAT_MOD_v31[NÚMERO DE ARTÍCULO (SAP)],CAT_MOD_v31[COLOR],"",0)</f>
        <v>Naranja</v>
      </c>
      <c r="G164" s="2">
        <f>_xlfn.XLOOKUP(Cat_SKU[[#This Row],[Item]],CAT_MOD_v31[NÚMERO DE ARTÍCULO (SAP)],CAT_MOD_v31[AÑO],"",0)</f>
        <v>2025</v>
      </c>
    </row>
    <row r="165" spans="1:7" x14ac:dyDescent="0.35">
      <c r="A165" t="s">
        <v>451</v>
      </c>
      <c r="B165" s="1" t="s">
        <v>466</v>
      </c>
      <c r="C165" t="s">
        <v>557</v>
      </c>
      <c r="D165" t="s">
        <v>265</v>
      </c>
      <c r="E165" s="2" t="str">
        <f>_xlfn.XLOOKUP(Cat_SKU[[#This Row],[Item]],CAT_MOD_v31[NÚMERO DE ARTÍCULO (SAP)],CAT_MOD_v31[RESUMIDO],"",0)</f>
        <v>Pulsar NS125 UG</v>
      </c>
      <c r="F165" s="2" t="str">
        <f>_xlfn.XLOOKUP(Cat_SKU[[#This Row],[Item]],CAT_MOD_v31[NÚMERO DE ARTÍCULO (SAP)],CAT_MOD_v31[COLOR],"",0)</f>
        <v>Gris</v>
      </c>
      <c r="G165" s="2">
        <f>_xlfn.XLOOKUP(Cat_SKU[[#This Row],[Item]],CAT_MOD_v31[NÚMERO DE ARTÍCULO (SAP)],CAT_MOD_v31[AÑO],"",0)</f>
        <v>2025</v>
      </c>
    </row>
    <row r="166" spans="1:7" x14ac:dyDescent="0.35">
      <c r="A166" t="s">
        <v>451</v>
      </c>
      <c r="B166" s="1" t="s">
        <v>466</v>
      </c>
      <c r="C166" t="s">
        <v>780</v>
      </c>
      <c r="D166" t="s">
        <v>369</v>
      </c>
      <c r="E166" s="2" t="str">
        <f>_xlfn.XLOOKUP(Cat_SKU[[#This Row],[Item]],CAT_MOD_v31[NÚMERO DE ARTÍCULO (SAP)],CAT_MOD_v31[RESUMIDO],"",0)</f>
        <v>Pulsar NS125 UG</v>
      </c>
      <c r="F166" s="2" t="str">
        <f>_xlfn.XLOOKUP(Cat_SKU[[#This Row],[Item]],CAT_MOD_v31[NÚMERO DE ARTÍCULO (SAP)],CAT_MOD_v31[COLOR],"",0)</f>
        <v>Azul</v>
      </c>
      <c r="G166" s="2">
        <f>_xlfn.XLOOKUP(Cat_SKU[[#This Row],[Item]],CAT_MOD_v31[NÚMERO DE ARTÍCULO (SAP)],CAT_MOD_v31[AÑO],"",0)</f>
        <v>2025</v>
      </c>
    </row>
    <row r="167" spans="1:7" x14ac:dyDescent="0.35">
      <c r="A167" t="s">
        <v>451</v>
      </c>
      <c r="B167" s="1" t="s">
        <v>485</v>
      </c>
      <c r="C167" t="s">
        <v>576</v>
      </c>
      <c r="D167" t="s">
        <v>267</v>
      </c>
      <c r="E167" s="2" t="str">
        <f>_xlfn.XLOOKUP(Cat_SKU[[#This Row],[Item]],CAT_MOD_v31[NÚMERO DE ARTÍCULO (SAP)],CAT_MOD_v31[RESUMIDO],"",0)</f>
        <v>Pulsar NS160 UG</v>
      </c>
      <c r="F167" s="2" t="str">
        <f>_xlfn.XLOOKUP(Cat_SKU[[#This Row],[Item]],CAT_MOD_v31[NÚMERO DE ARTÍCULO (SAP)],CAT_MOD_v31[COLOR],"",0)</f>
        <v>Perla</v>
      </c>
      <c r="G167" s="2">
        <f>_xlfn.XLOOKUP(Cat_SKU[[#This Row],[Item]],CAT_MOD_v31[NÚMERO DE ARTÍCULO (SAP)],CAT_MOD_v31[AÑO],"",0)</f>
        <v>2025</v>
      </c>
    </row>
    <row r="168" spans="1:7" x14ac:dyDescent="0.35">
      <c r="A168" t="s">
        <v>451</v>
      </c>
      <c r="B168" s="1" t="s">
        <v>468</v>
      </c>
      <c r="C168" t="s">
        <v>559</v>
      </c>
      <c r="D168" t="s">
        <v>282</v>
      </c>
      <c r="E168" s="2" t="str">
        <f>_xlfn.XLOOKUP(Cat_SKU[[#This Row],[Item]],CAT_MOD_v31[NÚMERO DE ARTÍCULO (SAP)],CAT_MOD_v31[RESUMIDO],"",0)</f>
        <v>Pulsar NS160 UG</v>
      </c>
      <c r="F168" s="2" t="str">
        <f>_xlfn.XLOOKUP(Cat_SKU[[#This Row],[Item]],CAT_MOD_v31[NÚMERO DE ARTÍCULO (SAP)],CAT_MOD_v31[COLOR],"",0)</f>
        <v>Gris</v>
      </c>
      <c r="G168" s="2">
        <f>_xlfn.XLOOKUP(Cat_SKU[[#This Row],[Item]],CAT_MOD_v31[NÚMERO DE ARTÍCULO (SAP)],CAT_MOD_v31[AÑO],"",0)</f>
        <v>2025</v>
      </c>
    </row>
    <row r="169" spans="1:7" x14ac:dyDescent="0.35">
      <c r="A169" t="s">
        <v>451</v>
      </c>
      <c r="B169" s="1" t="s">
        <v>453</v>
      </c>
      <c r="C169" t="s">
        <v>544</v>
      </c>
      <c r="D169" t="s">
        <v>266</v>
      </c>
      <c r="E169" s="2" t="str">
        <f>_xlfn.XLOOKUP(Cat_SKU[[#This Row],[Item]],CAT_MOD_v31[NÚMERO DE ARTÍCULO (SAP)],CAT_MOD_v31[RESUMIDO],"",0)</f>
        <v>Pulsar NS160 UG</v>
      </c>
      <c r="F169" s="2" t="str">
        <f>_xlfn.XLOOKUP(Cat_SKU[[#This Row],[Item]],CAT_MOD_v31[NÚMERO DE ARTÍCULO (SAP)],CAT_MOD_v31[COLOR],"",0)</f>
        <v>Negro</v>
      </c>
      <c r="G169" s="2">
        <f>_xlfn.XLOOKUP(Cat_SKU[[#This Row],[Item]],CAT_MOD_v31[NÚMERO DE ARTÍCULO (SAP)],CAT_MOD_v31[AÑO],"",0)</f>
        <v>2025</v>
      </c>
    </row>
    <row r="170" spans="1:7" x14ac:dyDescent="0.35">
      <c r="A170" t="s">
        <v>451</v>
      </c>
      <c r="B170" s="1" t="s">
        <v>454</v>
      </c>
      <c r="C170" t="s">
        <v>545</v>
      </c>
      <c r="D170" t="s">
        <v>286</v>
      </c>
      <c r="E170" s="2" t="str">
        <f>_xlfn.XLOOKUP(Cat_SKU[[#This Row],[Item]],CAT_MOD_v31[NÚMERO DE ARTÍCULO (SAP)],CAT_MOD_v31[RESUMIDO],"",0)</f>
        <v>Pulsar NS200 UG</v>
      </c>
      <c r="F170" s="2" t="str">
        <f>_xlfn.XLOOKUP(Cat_SKU[[#This Row],[Item]],CAT_MOD_v31[NÚMERO DE ARTÍCULO (SAP)],CAT_MOD_v31[COLOR],"",0)</f>
        <v>Perla</v>
      </c>
      <c r="G170" s="2">
        <f>_xlfn.XLOOKUP(Cat_SKU[[#This Row],[Item]],CAT_MOD_v31[NÚMERO DE ARTÍCULO (SAP)],CAT_MOD_v31[AÑO],"",0)</f>
        <v>2025</v>
      </c>
    </row>
    <row r="171" spans="1:7" x14ac:dyDescent="0.35">
      <c r="A171" t="s">
        <v>451</v>
      </c>
      <c r="B171" s="1" t="s">
        <v>478</v>
      </c>
      <c r="C171" t="s">
        <v>569</v>
      </c>
      <c r="D171" t="s">
        <v>283</v>
      </c>
      <c r="E171" s="2" t="str">
        <f>_xlfn.XLOOKUP(Cat_SKU[[#This Row],[Item]],CAT_MOD_v31[NÚMERO DE ARTÍCULO (SAP)],CAT_MOD_v31[RESUMIDO],"",0)</f>
        <v>Pulsar NS200 UG</v>
      </c>
      <c r="F171" s="2" t="str">
        <f>_xlfn.XLOOKUP(Cat_SKU[[#This Row],[Item]],CAT_MOD_v31[NÚMERO DE ARTÍCULO (SAP)],CAT_MOD_v31[COLOR],"",0)</f>
        <v>Gris</v>
      </c>
      <c r="G171" s="2">
        <f>_xlfn.XLOOKUP(Cat_SKU[[#This Row],[Item]],CAT_MOD_v31[NÚMERO DE ARTÍCULO (SAP)],CAT_MOD_v31[AÑO],"",0)</f>
        <v>2025</v>
      </c>
    </row>
    <row r="172" spans="1:7" x14ac:dyDescent="0.35">
      <c r="A172" t="s">
        <v>451</v>
      </c>
      <c r="B172" s="1" t="s">
        <v>470</v>
      </c>
      <c r="C172" t="s">
        <v>561</v>
      </c>
      <c r="D172" t="s">
        <v>285</v>
      </c>
      <c r="E172" s="2" t="str">
        <f>_xlfn.XLOOKUP(Cat_SKU[[#This Row],[Item]],CAT_MOD_v31[NÚMERO DE ARTÍCULO (SAP)],CAT_MOD_v31[RESUMIDO],"",0)</f>
        <v>Pulsar NS200 UG</v>
      </c>
      <c r="F172" s="2" t="str">
        <f>_xlfn.XLOOKUP(Cat_SKU[[#This Row],[Item]],CAT_MOD_v31[NÚMERO DE ARTÍCULO (SAP)],CAT_MOD_v31[COLOR],"",0)</f>
        <v>Negro</v>
      </c>
      <c r="G172" s="2">
        <f>_xlfn.XLOOKUP(Cat_SKU[[#This Row],[Item]],CAT_MOD_v31[NÚMERO DE ARTÍCULO (SAP)],CAT_MOD_v31[AÑO],"",0)</f>
        <v>2025</v>
      </c>
    </row>
    <row r="173" spans="1:7" x14ac:dyDescent="0.35">
      <c r="A173" t="s">
        <v>451</v>
      </c>
      <c r="B173" s="1" t="s">
        <v>476</v>
      </c>
      <c r="C173" t="s">
        <v>567</v>
      </c>
      <c r="D173" t="s">
        <v>284</v>
      </c>
      <c r="E173" s="2" t="str">
        <f>_xlfn.XLOOKUP(Cat_SKU[[#This Row],[Item]],CAT_MOD_v31[NÚMERO DE ARTÍCULO (SAP)],CAT_MOD_v31[RESUMIDO],"",0)</f>
        <v>Pulsar RS200</v>
      </c>
      <c r="F173" s="2" t="str">
        <f>_xlfn.XLOOKUP(Cat_SKU[[#This Row],[Item]],CAT_MOD_v31[NÚMERO DE ARTÍCULO (SAP)],CAT_MOD_v31[COLOR],"",0)</f>
        <v>Gris</v>
      </c>
      <c r="G173" s="2">
        <f>_xlfn.XLOOKUP(Cat_SKU[[#This Row],[Item]],CAT_MOD_v31[NÚMERO DE ARTÍCULO (SAP)],CAT_MOD_v31[AÑO],"",0)</f>
        <v>2025</v>
      </c>
    </row>
    <row r="174" spans="1:7" x14ac:dyDescent="0.35">
      <c r="A174" t="s">
        <v>451</v>
      </c>
      <c r="B174" s="1" t="s">
        <v>471</v>
      </c>
      <c r="C174" t="s">
        <v>562</v>
      </c>
      <c r="D174" t="s">
        <v>287</v>
      </c>
      <c r="E174" s="2" t="str">
        <f>_xlfn.XLOOKUP(Cat_SKU[[#This Row],[Item]],CAT_MOD_v31[NÚMERO DE ARTÍCULO (SAP)],CAT_MOD_v31[RESUMIDO],"",0)</f>
        <v>Pulsar RS200</v>
      </c>
      <c r="F174" s="2" t="str">
        <f>_xlfn.XLOOKUP(Cat_SKU[[#This Row],[Item]],CAT_MOD_v31[NÚMERO DE ARTÍCULO (SAP)],CAT_MOD_v31[COLOR],"",0)</f>
        <v>Perla</v>
      </c>
      <c r="G174" s="2">
        <f>_xlfn.XLOOKUP(Cat_SKU[[#This Row],[Item]],CAT_MOD_v31[NÚMERO DE ARTÍCULO (SAP)],CAT_MOD_v31[AÑO],"",0)</f>
        <v>2025</v>
      </c>
    </row>
    <row r="175" spans="1:7" x14ac:dyDescent="0.35">
      <c r="A175" t="s">
        <v>451</v>
      </c>
      <c r="B175" s="1" t="s">
        <v>455</v>
      </c>
      <c r="C175" t="s">
        <v>546</v>
      </c>
      <c r="D175" t="s">
        <v>304</v>
      </c>
      <c r="E175" s="2" t="str">
        <f>_xlfn.XLOOKUP(Cat_SKU[[#This Row],[Item]],CAT_MOD_v31[NÚMERO DE ARTÍCULO (SAP)],CAT_MOD_v31[RESUMIDO],"",0)</f>
        <v>Pulsar N160</v>
      </c>
      <c r="F175" s="2" t="str">
        <f>_xlfn.XLOOKUP(Cat_SKU[[#This Row],[Item]],CAT_MOD_v31[NÚMERO DE ARTÍCULO (SAP)],CAT_MOD_v31[COLOR],"",0)</f>
        <v>Negro</v>
      </c>
      <c r="G175" s="2">
        <f>_xlfn.XLOOKUP(Cat_SKU[[#This Row],[Item]],CAT_MOD_v31[NÚMERO DE ARTÍCULO (SAP)],CAT_MOD_v31[AÑO],"",0)</f>
        <v>2025</v>
      </c>
    </row>
    <row r="176" spans="1:7" x14ac:dyDescent="0.35">
      <c r="A176" t="s">
        <v>451</v>
      </c>
      <c r="B176" s="1" t="s">
        <v>486</v>
      </c>
      <c r="C176" t="s">
        <v>577</v>
      </c>
      <c r="D176" t="s">
        <v>273</v>
      </c>
      <c r="E176" s="2" t="str">
        <f>_xlfn.XLOOKUP(Cat_SKU[[#This Row],[Item]],CAT_MOD_v31[NÚMERO DE ARTÍCULO (SAP)],CAT_MOD_v31[RESUMIDO],"",0)</f>
        <v>Pulsar N250</v>
      </c>
      <c r="F176" s="2" t="str">
        <f>_xlfn.XLOOKUP(Cat_SKU[[#This Row],[Item]],CAT_MOD_v31[NÚMERO DE ARTÍCULO (SAP)],CAT_MOD_v31[COLOR],"",0)</f>
        <v>Negro</v>
      </c>
      <c r="G176" s="2">
        <f>_xlfn.XLOOKUP(Cat_SKU[[#This Row],[Item]],CAT_MOD_v31[NÚMERO DE ARTÍCULO (SAP)],CAT_MOD_v31[AÑO],"",0)</f>
        <v>2025</v>
      </c>
    </row>
    <row r="177" spans="1:7" x14ac:dyDescent="0.35">
      <c r="A177" t="s">
        <v>451</v>
      </c>
      <c r="B177" s="1" t="s">
        <v>479</v>
      </c>
      <c r="C177" t="s">
        <v>570</v>
      </c>
      <c r="D177" t="s">
        <v>278</v>
      </c>
      <c r="E177" s="2" t="str">
        <f>_xlfn.XLOOKUP(Cat_SKU[[#This Row],[Item]],CAT_MOD_v31[NÚMERO DE ARTÍCULO (SAP)],CAT_MOD_v31[RESUMIDO],"",0)</f>
        <v>Pulsar NS400z</v>
      </c>
      <c r="F177" s="2" t="str">
        <f>_xlfn.XLOOKUP(Cat_SKU[[#This Row],[Item]],CAT_MOD_v31[NÚMERO DE ARTÍCULO (SAP)],CAT_MOD_v31[COLOR],"",0)</f>
        <v>Negro</v>
      </c>
      <c r="G177" s="2">
        <f>_xlfn.XLOOKUP(Cat_SKU[[#This Row],[Item]],CAT_MOD_v31[NÚMERO DE ARTÍCULO (SAP)],CAT_MOD_v31[AÑO],"",0)</f>
        <v>2025</v>
      </c>
    </row>
    <row r="178" spans="1:7" x14ac:dyDescent="0.35">
      <c r="A178" t="s">
        <v>451</v>
      </c>
      <c r="B178" s="1" t="s">
        <v>479</v>
      </c>
      <c r="C178" t="s">
        <v>787</v>
      </c>
      <c r="D178" t="s">
        <v>808</v>
      </c>
      <c r="E178" s="2" t="str">
        <f>_xlfn.XLOOKUP(Cat_SKU[[#This Row],[Item]],CAT_MOD_v31[NÚMERO DE ARTÍCULO (SAP)],CAT_MOD_v31[RESUMIDO],"",0)</f>
        <v>Pulsar NS400z</v>
      </c>
      <c r="F178" s="2" t="str">
        <f>_xlfn.XLOOKUP(Cat_SKU[[#This Row],[Item]],CAT_MOD_v31[NÚMERO DE ARTÍCULO (SAP)],CAT_MOD_v31[COLOR],"",0)</f>
        <v>Negro</v>
      </c>
      <c r="G178" s="2">
        <f>_xlfn.XLOOKUP(Cat_SKU[[#This Row],[Item]],CAT_MOD_v31[NÚMERO DE ARTÍCULO (SAP)],CAT_MOD_v31[AÑO],"",0)</f>
        <v>2025</v>
      </c>
    </row>
    <row r="179" spans="1:7" x14ac:dyDescent="0.35">
      <c r="A179" t="s">
        <v>451</v>
      </c>
      <c r="B179" s="1" t="s">
        <v>472</v>
      </c>
      <c r="C179" t="s">
        <v>563</v>
      </c>
      <c r="D179" t="s">
        <v>281</v>
      </c>
      <c r="E179" s="2" t="str">
        <f>_xlfn.XLOOKUP(Cat_SKU[[#This Row],[Item]],CAT_MOD_v31[NÚMERO DE ARTÍCULO (SAP)],CAT_MOD_v31[RESUMIDO],"",0)</f>
        <v>Pulsar NS400z</v>
      </c>
      <c r="F179" s="2" t="str">
        <f>_xlfn.XLOOKUP(Cat_SKU[[#This Row],[Item]],CAT_MOD_v31[NÚMERO DE ARTÍCULO (SAP)],CAT_MOD_v31[COLOR],"",0)</f>
        <v>Perla</v>
      </c>
      <c r="G179" s="2">
        <f>_xlfn.XLOOKUP(Cat_SKU[[#This Row],[Item]],CAT_MOD_v31[NÚMERO DE ARTÍCULO (SAP)],CAT_MOD_v31[AÑO],"",0)</f>
        <v>2025</v>
      </c>
    </row>
    <row r="180" spans="1:7" x14ac:dyDescent="0.35">
      <c r="A180" t="s">
        <v>451</v>
      </c>
      <c r="B180" s="1" t="s">
        <v>480</v>
      </c>
      <c r="C180" t="s">
        <v>571</v>
      </c>
      <c r="D180" t="s">
        <v>279</v>
      </c>
      <c r="E180" s="2" t="str">
        <f>_xlfn.XLOOKUP(Cat_SKU[[#This Row],[Item]],CAT_MOD_v31[NÚMERO DE ARTÍCULO (SAP)],CAT_MOD_v31[RESUMIDO],"",0)</f>
        <v>Pulsar NS400z</v>
      </c>
      <c r="F180" s="2" t="str">
        <f>_xlfn.XLOOKUP(Cat_SKU[[#This Row],[Item]],CAT_MOD_v31[NÚMERO DE ARTÍCULO (SAP)],CAT_MOD_v31[COLOR],"",0)</f>
        <v>Rojo</v>
      </c>
      <c r="G180" s="2">
        <f>_xlfn.XLOOKUP(Cat_SKU[[#This Row],[Item]],CAT_MOD_v31[NÚMERO DE ARTÍCULO (SAP)],CAT_MOD_v31[AÑO],"",0)</f>
        <v>2025</v>
      </c>
    </row>
    <row r="181" spans="1:7" x14ac:dyDescent="0.35">
      <c r="A181" t="s">
        <v>451</v>
      </c>
      <c r="B181" s="1" t="s">
        <v>481</v>
      </c>
      <c r="C181" t="s">
        <v>572</v>
      </c>
      <c r="D181" t="s">
        <v>583</v>
      </c>
      <c r="E181" s="2" t="str">
        <f>_xlfn.XLOOKUP(Cat_SKU[[#This Row],[Item]],CAT_MOD_v31[NÚMERO DE ARTÍCULO (SAP)],CAT_MOD_v31[RESUMIDO],"",0)</f>
        <v>Pulsar NS400z</v>
      </c>
      <c r="F181" s="2" t="str">
        <f>_xlfn.XLOOKUP(Cat_SKU[[#This Row],[Item]],CAT_MOD_v31[NÚMERO DE ARTÍCULO (SAP)],CAT_MOD_v31[COLOR],"",0)</f>
        <v>Gris</v>
      </c>
      <c r="G181" s="2">
        <f>_xlfn.XLOOKUP(Cat_SKU[[#This Row],[Item]],CAT_MOD_v31[NÚMERO DE ARTÍCULO (SAP)],CAT_MOD_v31[AÑO],"",0)</f>
        <v>2025</v>
      </c>
    </row>
    <row r="182" spans="1:7" x14ac:dyDescent="0.35">
      <c r="A182" t="s">
        <v>451</v>
      </c>
      <c r="B182" s="1" t="s">
        <v>481</v>
      </c>
      <c r="C182" t="s">
        <v>572</v>
      </c>
      <c r="D182" t="s">
        <v>280</v>
      </c>
      <c r="E182" s="2" t="str">
        <f>_xlfn.XLOOKUP(Cat_SKU[[#This Row],[Item]],CAT_MOD_v31[NÚMERO DE ARTÍCULO (SAP)],CAT_MOD_v31[RESUMIDO],"",0)</f>
        <v>Pulsar NS400z</v>
      </c>
      <c r="F182" s="2" t="str">
        <f>_xlfn.XLOOKUP(Cat_SKU[[#This Row],[Item]],CAT_MOD_v31[NÚMERO DE ARTÍCULO (SAP)],CAT_MOD_v31[COLOR],"",0)</f>
        <v>Gris</v>
      </c>
      <c r="G182" s="2">
        <f>_xlfn.XLOOKUP(Cat_SKU[[#This Row],[Item]],CAT_MOD_v31[NÚMERO DE ARTÍCULO (SAP)],CAT_MOD_v31[AÑO],"",0)</f>
        <v>2025</v>
      </c>
    </row>
    <row r="183" spans="1:7" x14ac:dyDescent="0.35">
      <c r="A183" t="s">
        <v>451</v>
      </c>
      <c r="B183" s="1" t="s">
        <v>463</v>
      </c>
      <c r="C183" t="s">
        <v>554</v>
      </c>
      <c r="D183" t="s">
        <v>274</v>
      </c>
      <c r="E183" s="2" t="str">
        <f>_xlfn.XLOOKUP(Cat_SKU[[#This Row],[Item]],CAT_MOD_v31[NÚMERO DE ARTÍCULO (SAP)],CAT_MOD_v31[RESUMIDO],"",0)</f>
        <v>Pulsar N250 FI ABS</v>
      </c>
      <c r="F183" s="2" t="str">
        <f>_xlfn.XLOOKUP(Cat_SKU[[#This Row],[Item]],CAT_MOD_v31[NÚMERO DE ARTÍCULO (SAP)],CAT_MOD_v31[COLOR],"",0)</f>
        <v>Negro</v>
      </c>
      <c r="G183" s="2">
        <f>_xlfn.XLOOKUP(Cat_SKU[[#This Row],[Item]],CAT_MOD_v31[NÚMERO DE ARTÍCULO (SAP)],CAT_MOD_v31[AÑO],"",0)</f>
        <v>2025</v>
      </c>
    </row>
    <row r="184" spans="1:7" x14ac:dyDescent="0.35">
      <c r="A184" t="s">
        <v>451</v>
      </c>
      <c r="B184" s="1" t="s">
        <v>463</v>
      </c>
      <c r="C184" t="s">
        <v>796</v>
      </c>
      <c r="D184" t="s">
        <v>359</v>
      </c>
      <c r="E184" s="2" t="str">
        <f>_xlfn.XLOOKUP(Cat_SKU[[#This Row],[Item]],CAT_MOD_v31[NÚMERO DE ARTÍCULO (SAP)],CAT_MOD_v31[RESUMIDO],"",0)</f>
        <v>Pulsar N250 FI ABS UG</v>
      </c>
      <c r="F184" s="2" t="str">
        <f>_xlfn.XLOOKUP(Cat_SKU[[#This Row],[Item]],CAT_MOD_v31[NÚMERO DE ARTÍCULO (SAP)],CAT_MOD_v31[COLOR],"",0)</f>
        <v>Negro</v>
      </c>
      <c r="G184" s="2">
        <f>_xlfn.XLOOKUP(Cat_SKU[[#This Row],[Item]],CAT_MOD_v31[NÚMERO DE ARTÍCULO (SAP)],CAT_MOD_v31[AÑO],"",0)</f>
        <v>2025</v>
      </c>
    </row>
    <row r="185" spans="1:7" x14ac:dyDescent="0.35">
      <c r="A185" t="s">
        <v>451</v>
      </c>
      <c r="B185" s="1" t="s">
        <v>473</v>
      </c>
      <c r="C185" t="s">
        <v>564</v>
      </c>
      <c r="D185" t="s">
        <v>300</v>
      </c>
      <c r="E185" s="2" t="str">
        <f>_xlfn.XLOOKUP(Cat_SKU[[#This Row],[Item]],CAT_MOD_v31[NÚMERO DE ARTÍCULO (SAP)],CAT_MOD_v31[RESUMIDO],"",0)</f>
        <v>Pulsar N250 FI ABS</v>
      </c>
      <c r="F185" s="2" t="str">
        <f>_xlfn.XLOOKUP(Cat_SKU[[#This Row],[Item]],CAT_MOD_v31[NÚMERO DE ARTÍCULO (SAP)],CAT_MOD_v31[COLOR],"",0)</f>
        <v>Rojo</v>
      </c>
      <c r="G185" s="2">
        <f>_xlfn.XLOOKUP(Cat_SKU[[#This Row],[Item]],CAT_MOD_v31[NÚMERO DE ARTÍCULO (SAP)],CAT_MOD_v31[AÑO],"",0)</f>
        <v>2025</v>
      </c>
    </row>
    <row r="186" spans="1:7" x14ac:dyDescent="0.35">
      <c r="A186" t="s">
        <v>451</v>
      </c>
      <c r="B186" s="1" t="s">
        <v>473</v>
      </c>
      <c r="C186" t="s">
        <v>796</v>
      </c>
      <c r="D186" t="s">
        <v>272</v>
      </c>
      <c r="E186" s="2" t="str">
        <f>_xlfn.XLOOKUP(Cat_SKU[[#This Row],[Item]],CAT_MOD_v31[NÚMERO DE ARTÍCULO (SAP)],CAT_MOD_v31[RESUMIDO],"",0)</f>
        <v>Pulsar N250 FI ABS UG</v>
      </c>
      <c r="F186" s="2" t="str">
        <f>_xlfn.XLOOKUP(Cat_SKU[[#This Row],[Item]],CAT_MOD_v31[NÚMERO DE ARTÍCULO (SAP)],CAT_MOD_v31[COLOR],"",0)</f>
        <v>Rojo</v>
      </c>
      <c r="G186" s="2">
        <f>_xlfn.XLOOKUP(Cat_SKU[[#This Row],[Item]],CAT_MOD_v31[NÚMERO DE ARTÍCULO (SAP)],CAT_MOD_v31[AÑO],"",0)</f>
        <v>2025</v>
      </c>
    </row>
    <row r="187" spans="1:7" x14ac:dyDescent="0.35">
      <c r="A187" t="s">
        <v>451</v>
      </c>
      <c r="B187" s="1" t="s">
        <v>456</v>
      </c>
      <c r="C187" t="s">
        <v>547</v>
      </c>
      <c r="D187" t="s">
        <v>275</v>
      </c>
      <c r="E187" s="2" t="str">
        <f>_xlfn.XLOOKUP(Cat_SKU[[#This Row],[Item]],CAT_MOD_v31[NÚMERO DE ARTÍCULO (SAP)],CAT_MOD_v31[RESUMIDO],"",0)</f>
        <v>Pulsar N250</v>
      </c>
      <c r="F187" s="2" t="str">
        <f>_xlfn.XLOOKUP(Cat_SKU[[#This Row],[Item]],CAT_MOD_v31[NÚMERO DE ARTÍCULO (SAP)],CAT_MOD_v31[COLOR],"",0)</f>
        <v>Azul</v>
      </c>
      <c r="G187" s="2">
        <f>_xlfn.XLOOKUP(Cat_SKU[[#This Row],[Item]],CAT_MOD_v31[NÚMERO DE ARTÍCULO (SAP)],CAT_MOD_v31[AÑO],"",0)</f>
        <v>2025</v>
      </c>
    </row>
    <row r="188" spans="1:7" x14ac:dyDescent="0.35">
      <c r="A188" t="s">
        <v>451</v>
      </c>
      <c r="B188" s="1" t="s">
        <v>772</v>
      </c>
      <c r="C188" t="s">
        <v>804</v>
      </c>
      <c r="D188" t="s">
        <v>302</v>
      </c>
      <c r="E188" s="2" t="str">
        <f>_xlfn.XLOOKUP(Cat_SKU[[#This Row],[Item]],CAT_MOD_v31[NÚMERO DE ARTÍCULO (SAP)],CAT_MOD_v31[RESUMIDO],"",0)</f>
        <v>Pulsar NS200 UG</v>
      </c>
      <c r="F188" s="2" t="str">
        <f>_xlfn.XLOOKUP(Cat_SKU[[#This Row],[Item]],CAT_MOD_v31[NÚMERO DE ARTÍCULO (SAP)],CAT_MOD_v31[COLOR],"",0)</f>
        <v>Gris</v>
      </c>
      <c r="G188" s="2">
        <f>_xlfn.XLOOKUP(Cat_SKU[[#This Row],[Item]],CAT_MOD_v31[NÚMERO DE ARTÍCULO (SAP)],CAT_MOD_v31[AÑO],"",0)</f>
        <v>2024</v>
      </c>
    </row>
    <row r="189" spans="1:7" x14ac:dyDescent="0.35">
      <c r="A189" t="s">
        <v>451</v>
      </c>
      <c r="B189" s="1" t="s">
        <v>533</v>
      </c>
      <c r="D189" t="s">
        <v>348</v>
      </c>
      <c r="E189" s="2" t="str">
        <f>_xlfn.XLOOKUP(Cat_SKU[[#This Row],[Item]],CAT_MOD_v31[NÚMERO DE ARTÍCULO (SAP)],CAT_MOD_v31[RESUMIDO],"",0)</f>
        <v>Platina ES100</v>
      </c>
      <c r="F189" s="2" t="str">
        <f>_xlfn.XLOOKUP(Cat_SKU[[#This Row],[Item]],CAT_MOD_v31[NÚMERO DE ARTÍCULO (SAP)],CAT_MOD_v31[COLOR],"",0)</f>
        <v>Rojo</v>
      </c>
      <c r="G189" s="2">
        <f>_xlfn.XLOOKUP(Cat_SKU[[#This Row],[Item]],CAT_MOD_v31[NÚMERO DE ARTÍCULO (SAP)],CAT_MOD_v31[AÑO],"",0)</f>
        <v>2024</v>
      </c>
    </row>
    <row r="190" spans="1:7" x14ac:dyDescent="0.35">
      <c r="A190" t="s">
        <v>451</v>
      </c>
      <c r="B190" s="1" t="s">
        <v>765</v>
      </c>
      <c r="C190" t="s">
        <v>798</v>
      </c>
      <c r="D190" t="s">
        <v>255</v>
      </c>
      <c r="E190" s="2" t="str">
        <f>_xlfn.XLOOKUP(Cat_SKU[[#This Row],[Item]],CAT_MOD_v31[NÚMERO DE ARTÍCULO (SAP)],CAT_MOD_v31[RESUMIDO],"",0)</f>
        <v>Avenger Cruise 220</v>
      </c>
      <c r="F190" s="2" t="str">
        <f>_xlfn.XLOOKUP(Cat_SKU[[#This Row],[Item]],CAT_MOD_v31[NÚMERO DE ARTÍCULO (SAP)],CAT_MOD_v31[COLOR],"",0)</f>
        <v>Negro</v>
      </c>
      <c r="G190" s="2">
        <f>_xlfn.XLOOKUP(Cat_SKU[[#This Row],[Item]],CAT_MOD_v31[NÚMERO DE ARTÍCULO (SAP)],CAT_MOD_v31[AÑO],"",0)</f>
        <v>2025</v>
      </c>
    </row>
    <row r="191" spans="1:7" x14ac:dyDescent="0.35">
      <c r="A191" t="s">
        <v>451</v>
      </c>
      <c r="B191" s="1" t="s">
        <v>524</v>
      </c>
      <c r="D191" t="s">
        <v>257</v>
      </c>
      <c r="E191" s="2" t="str">
        <f>_xlfn.XLOOKUP(Cat_SKU[[#This Row],[Item]],CAT_MOD_v31[NÚMERO DE ARTÍCULO (SAP)],CAT_MOD_v31[RESUMIDO],"",0)</f>
        <v>Boxer BM150</v>
      </c>
      <c r="F191" s="2" t="str">
        <f>_xlfn.XLOOKUP(Cat_SKU[[#This Row],[Item]],CAT_MOD_v31[NÚMERO DE ARTÍCULO (SAP)],CAT_MOD_v31[COLOR],"",0)</f>
        <v>Negro</v>
      </c>
      <c r="G191" s="2">
        <f>_xlfn.XLOOKUP(Cat_SKU[[#This Row],[Item]],CAT_MOD_v31[NÚMERO DE ARTÍCULO (SAP)],CAT_MOD_v31[AÑO],"",0)</f>
        <v>2025</v>
      </c>
    </row>
    <row r="192" spans="1:7" x14ac:dyDescent="0.35">
      <c r="A192" t="s">
        <v>451</v>
      </c>
      <c r="B192" s="1" t="s">
        <v>525</v>
      </c>
      <c r="D192" t="s">
        <v>260</v>
      </c>
      <c r="E192" s="2" t="str">
        <f>_xlfn.XLOOKUP(Cat_SKU[[#This Row],[Item]],CAT_MOD_v31[NÚMERO DE ARTÍCULO (SAP)],CAT_MOD_v31[RESUMIDO],"",0)</f>
        <v>Dominar 250</v>
      </c>
      <c r="F192" s="2" t="str">
        <f>_xlfn.XLOOKUP(Cat_SKU[[#This Row],[Item]],CAT_MOD_v31[NÚMERO DE ARTÍCULO (SAP)],CAT_MOD_v31[COLOR],"",0)</f>
        <v>Rojo</v>
      </c>
      <c r="G192" s="2">
        <f>_xlfn.XLOOKUP(Cat_SKU[[#This Row],[Item]],CAT_MOD_v31[NÚMERO DE ARTÍCULO (SAP)],CAT_MOD_v31[AÑO],"",0)</f>
        <v>2025</v>
      </c>
    </row>
    <row r="193" spans="1:7" x14ac:dyDescent="0.35">
      <c r="A193" t="s">
        <v>451</v>
      </c>
      <c r="B193" s="1" t="s">
        <v>457</v>
      </c>
      <c r="C193" t="s">
        <v>548</v>
      </c>
      <c r="D193" t="s">
        <v>265</v>
      </c>
      <c r="E193" s="2" t="str">
        <f>_xlfn.XLOOKUP(Cat_SKU[[#This Row],[Item]],CAT_MOD_v31[NÚMERO DE ARTÍCULO (SAP)],CAT_MOD_v31[RESUMIDO],"",0)</f>
        <v>Pulsar NS125 UG</v>
      </c>
      <c r="F193" s="2" t="str">
        <f>_xlfn.XLOOKUP(Cat_SKU[[#This Row],[Item]],CAT_MOD_v31[NÚMERO DE ARTÍCULO (SAP)],CAT_MOD_v31[COLOR],"",0)</f>
        <v>Gris</v>
      </c>
      <c r="G193" s="2">
        <f>_xlfn.XLOOKUP(Cat_SKU[[#This Row],[Item]],CAT_MOD_v31[NÚMERO DE ARTÍCULO (SAP)],CAT_MOD_v31[AÑO],"",0)</f>
        <v>2025</v>
      </c>
    </row>
    <row r="194" spans="1:7" x14ac:dyDescent="0.35">
      <c r="A194" t="s">
        <v>451</v>
      </c>
      <c r="B194" s="1" t="s">
        <v>534</v>
      </c>
      <c r="D194" t="s">
        <v>358</v>
      </c>
      <c r="E194" s="2" t="str">
        <f>_xlfn.XLOOKUP(Cat_SKU[[#This Row],[Item]],CAT_MOD_v31[NÚMERO DE ARTÍCULO (SAP)],CAT_MOD_v31[RESUMIDO],"",0)</f>
        <v>Pulsar N160 FI ABS UG</v>
      </c>
      <c r="F194" s="2" t="str">
        <f>_xlfn.XLOOKUP(Cat_SKU[[#This Row],[Item]],CAT_MOD_v31[NÚMERO DE ARTÍCULO (SAP)],CAT_MOD_v31[COLOR],"",0)</f>
        <v>Negro</v>
      </c>
      <c r="G194" s="2">
        <f>_xlfn.XLOOKUP(Cat_SKU[[#This Row],[Item]],CAT_MOD_v31[NÚMERO DE ARTÍCULO (SAP)],CAT_MOD_v31[AÑO],"",0)</f>
        <v>2025</v>
      </c>
    </row>
    <row r="195" spans="1:7" x14ac:dyDescent="0.35">
      <c r="A195" t="s">
        <v>451</v>
      </c>
      <c r="B195" s="1" t="s">
        <v>766</v>
      </c>
      <c r="C195" t="s">
        <v>799</v>
      </c>
      <c r="D195" t="s">
        <v>282</v>
      </c>
      <c r="E195" s="2" t="str">
        <f>_xlfn.XLOOKUP(Cat_SKU[[#This Row],[Item]],CAT_MOD_v31[NÚMERO DE ARTÍCULO (SAP)],CAT_MOD_v31[RESUMIDO],"",0)</f>
        <v>Pulsar NS160 UG</v>
      </c>
      <c r="F195" s="2" t="str">
        <f>_xlfn.XLOOKUP(Cat_SKU[[#This Row],[Item]],CAT_MOD_v31[NÚMERO DE ARTÍCULO (SAP)],CAT_MOD_v31[COLOR],"",0)</f>
        <v>Gris</v>
      </c>
      <c r="G195" s="2">
        <f>_xlfn.XLOOKUP(Cat_SKU[[#This Row],[Item]],CAT_MOD_v31[NÚMERO DE ARTÍCULO (SAP)],CAT_MOD_v31[AÑO],"",0)</f>
        <v>2025</v>
      </c>
    </row>
    <row r="196" spans="1:7" x14ac:dyDescent="0.35">
      <c r="A196" t="s">
        <v>451</v>
      </c>
      <c r="B196" s="1" t="s">
        <v>532</v>
      </c>
      <c r="D196" t="s">
        <v>287</v>
      </c>
      <c r="E196" s="2" t="str">
        <f>_xlfn.XLOOKUP(Cat_SKU[[#This Row],[Item]],CAT_MOD_v31[NÚMERO DE ARTÍCULO (SAP)],CAT_MOD_v31[RESUMIDO],"",0)</f>
        <v>Pulsar RS200</v>
      </c>
      <c r="F196" s="2" t="str">
        <f>_xlfn.XLOOKUP(Cat_SKU[[#This Row],[Item]],CAT_MOD_v31[NÚMERO DE ARTÍCULO (SAP)],CAT_MOD_v31[COLOR],"",0)</f>
        <v>Perla</v>
      </c>
      <c r="G196" s="2">
        <f>_xlfn.XLOOKUP(Cat_SKU[[#This Row],[Item]],CAT_MOD_v31[NÚMERO DE ARTÍCULO (SAP)],CAT_MOD_v31[AÑO],"",0)</f>
        <v>2025</v>
      </c>
    </row>
    <row r="197" spans="1:7" x14ac:dyDescent="0.35">
      <c r="A197" t="s">
        <v>451</v>
      </c>
      <c r="B197" s="1" t="s">
        <v>535</v>
      </c>
      <c r="D197" t="s">
        <v>283</v>
      </c>
      <c r="E197" s="2" t="str">
        <f>_xlfn.XLOOKUP(Cat_SKU[[#This Row],[Item]],CAT_MOD_v31[NÚMERO DE ARTÍCULO (SAP)],CAT_MOD_v31[RESUMIDO],"",0)</f>
        <v>Pulsar NS200 UG</v>
      </c>
      <c r="F197" s="2" t="str">
        <f>_xlfn.XLOOKUP(Cat_SKU[[#This Row],[Item]],CAT_MOD_v31[NÚMERO DE ARTÍCULO (SAP)],CAT_MOD_v31[COLOR],"",0)</f>
        <v>Gris</v>
      </c>
      <c r="G197" s="2">
        <f>_xlfn.XLOOKUP(Cat_SKU[[#This Row],[Item]],CAT_MOD_v31[NÚMERO DE ARTÍCULO (SAP)],CAT_MOD_v31[AÑO],"",0)</f>
        <v>2025</v>
      </c>
    </row>
    <row r="198" spans="1:7" x14ac:dyDescent="0.35">
      <c r="A198" t="s">
        <v>451</v>
      </c>
      <c r="B198" s="1" t="s">
        <v>526</v>
      </c>
      <c r="D198" t="s">
        <v>284</v>
      </c>
      <c r="E198" s="2" t="str">
        <f>_xlfn.XLOOKUP(Cat_SKU[[#This Row],[Item]],CAT_MOD_v31[NÚMERO DE ARTÍCULO (SAP)],CAT_MOD_v31[RESUMIDO],"",0)</f>
        <v>Pulsar RS200</v>
      </c>
      <c r="F198" s="2" t="str">
        <f>_xlfn.XLOOKUP(Cat_SKU[[#This Row],[Item]],CAT_MOD_v31[NÚMERO DE ARTÍCULO (SAP)],CAT_MOD_v31[COLOR],"",0)</f>
        <v>Gris</v>
      </c>
      <c r="G198" s="2">
        <f>_xlfn.XLOOKUP(Cat_SKU[[#This Row],[Item]],CAT_MOD_v31[NÚMERO DE ARTÍCULO (SAP)],CAT_MOD_v31[AÑO],"",0)</f>
        <v>2025</v>
      </c>
    </row>
    <row r="199" spans="1:7" x14ac:dyDescent="0.35">
      <c r="A199" t="s">
        <v>451</v>
      </c>
      <c r="B199" s="1" t="s">
        <v>458</v>
      </c>
      <c r="C199" t="s">
        <v>549</v>
      </c>
      <c r="D199" t="s">
        <v>276</v>
      </c>
      <c r="E199" s="2" t="str">
        <f>_xlfn.XLOOKUP(Cat_SKU[[#This Row],[Item]],CAT_MOD_v31[NÚMERO DE ARTÍCULO (SAP)],CAT_MOD_v31[RESUMIDO],"",0)</f>
        <v>Pulsar N250</v>
      </c>
      <c r="F199" s="2" t="str">
        <f>_xlfn.XLOOKUP(Cat_SKU[[#This Row],[Item]],CAT_MOD_v31[NÚMERO DE ARTÍCULO (SAP)],CAT_MOD_v31[COLOR],"",0)</f>
        <v>Amarillo</v>
      </c>
      <c r="G199" s="2">
        <f>_xlfn.XLOOKUP(Cat_SKU[[#This Row],[Item]],CAT_MOD_v31[NÚMERO DE ARTÍCULO (SAP)],CAT_MOD_v31[AÑO],"",0)</f>
        <v>2025</v>
      </c>
    </row>
    <row r="200" spans="1:7" x14ac:dyDescent="0.35">
      <c r="A200" t="s">
        <v>451</v>
      </c>
      <c r="B200" s="1" t="s">
        <v>542</v>
      </c>
      <c r="D200" t="s">
        <v>272</v>
      </c>
      <c r="E200" s="2" t="str">
        <f>_xlfn.XLOOKUP(Cat_SKU[[#This Row],[Item]],CAT_MOD_v31[NÚMERO DE ARTÍCULO (SAP)],CAT_MOD_v31[RESUMIDO],"",0)</f>
        <v>Pulsar N250 FI ABS UG</v>
      </c>
      <c r="F200" s="2" t="str">
        <f>_xlfn.XLOOKUP(Cat_SKU[[#This Row],[Item]],CAT_MOD_v31[NÚMERO DE ARTÍCULO (SAP)],CAT_MOD_v31[COLOR],"",0)</f>
        <v>Rojo</v>
      </c>
      <c r="G200" s="2">
        <f>_xlfn.XLOOKUP(Cat_SKU[[#This Row],[Item]],CAT_MOD_v31[NÚMERO DE ARTÍCULO (SAP)],CAT_MOD_v31[AÑO],"",0)</f>
        <v>2025</v>
      </c>
    </row>
    <row r="201" spans="1:7" x14ac:dyDescent="0.35">
      <c r="A201" t="s">
        <v>451</v>
      </c>
      <c r="B201" s="1" t="s">
        <v>527</v>
      </c>
      <c r="D201" t="s">
        <v>267</v>
      </c>
      <c r="E201" s="2" t="str">
        <f>_xlfn.XLOOKUP(Cat_SKU[[#This Row],[Item]],CAT_MOD_v31[NÚMERO DE ARTÍCULO (SAP)],CAT_MOD_v31[RESUMIDO],"",0)</f>
        <v>Pulsar NS160 UG</v>
      </c>
      <c r="F201" s="2" t="str">
        <f>_xlfn.XLOOKUP(Cat_SKU[[#This Row],[Item]],CAT_MOD_v31[NÚMERO DE ARTÍCULO (SAP)],CAT_MOD_v31[COLOR],"",0)</f>
        <v>Perla</v>
      </c>
      <c r="G201" s="2">
        <f>_xlfn.XLOOKUP(Cat_SKU[[#This Row],[Item]],CAT_MOD_v31[NÚMERO DE ARTÍCULO (SAP)],CAT_MOD_v31[AÑO],"",0)</f>
        <v>2025</v>
      </c>
    </row>
    <row r="202" spans="1:7" x14ac:dyDescent="0.35">
      <c r="A202" t="s">
        <v>451</v>
      </c>
      <c r="B202" s="1" t="s">
        <v>459</v>
      </c>
      <c r="C202" t="s">
        <v>550</v>
      </c>
      <c r="D202" t="s">
        <v>268</v>
      </c>
      <c r="E202" s="2" t="str">
        <f>_xlfn.XLOOKUP(Cat_SKU[[#This Row],[Item]],CAT_MOD_v31[NÚMERO DE ARTÍCULO (SAP)],CAT_MOD_v31[RESUMIDO],"",0)</f>
        <v>Pulsar N160 FI ABS</v>
      </c>
      <c r="F202" s="2" t="str">
        <f>_xlfn.XLOOKUP(Cat_SKU[[#This Row],[Item]],CAT_MOD_v31[NÚMERO DE ARTÍCULO (SAP)],CAT_MOD_v31[COLOR],"",0)</f>
        <v>Negro</v>
      </c>
      <c r="G202" s="2">
        <f>_xlfn.XLOOKUP(Cat_SKU[[#This Row],[Item]],CAT_MOD_v31[NÚMERO DE ARTÍCULO (SAP)],CAT_MOD_v31[AÑO],"",0)</f>
        <v>2025</v>
      </c>
    </row>
    <row r="203" spans="1:7" x14ac:dyDescent="0.35">
      <c r="A203" t="s">
        <v>451</v>
      </c>
      <c r="B203" s="1" t="s">
        <v>459</v>
      </c>
      <c r="C203" t="s">
        <v>797</v>
      </c>
      <c r="D203" t="s">
        <v>358</v>
      </c>
      <c r="E203" s="2" t="str">
        <f>_xlfn.XLOOKUP(Cat_SKU[[#This Row],[Item]],CAT_MOD_v31[NÚMERO DE ARTÍCULO (SAP)],CAT_MOD_v31[RESUMIDO],"",0)</f>
        <v>Pulsar N160 FI ABS UG</v>
      </c>
      <c r="F203" s="2" t="str">
        <f>_xlfn.XLOOKUP(Cat_SKU[[#This Row],[Item]],CAT_MOD_v31[NÚMERO DE ARTÍCULO (SAP)],CAT_MOD_v31[COLOR],"",0)</f>
        <v>Negro</v>
      </c>
      <c r="G203" s="2">
        <f>_xlfn.XLOOKUP(Cat_SKU[[#This Row],[Item]],CAT_MOD_v31[NÚMERO DE ARTÍCULO (SAP)],CAT_MOD_v31[AÑO],"",0)</f>
        <v>2025</v>
      </c>
    </row>
    <row r="204" spans="1:7" x14ac:dyDescent="0.35">
      <c r="A204" t="s">
        <v>451</v>
      </c>
      <c r="B204" s="1" t="s">
        <v>460</v>
      </c>
      <c r="C204" t="s">
        <v>551</v>
      </c>
      <c r="D204" t="s">
        <v>304</v>
      </c>
      <c r="E204" s="2" t="str">
        <f>_xlfn.XLOOKUP(Cat_SKU[[#This Row],[Item]],CAT_MOD_v31[NÚMERO DE ARTÍCULO (SAP)],CAT_MOD_v31[RESUMIDO],"",0)</f>
        <v>Pulsar N160</v>
      </c>
      <c r="F204" s="2" t="str">
        <f>_xlfn.XLOOKUP(Cat_SKU[[#This Row],[Item]],CAT_MOD_v31[NÚMERO DE ARTÍCULO (SAP)],CAT_MOD_v31[COLOR],"",0)</f>
        <v>Negro</v>
      </c>
      <c r="G204" s="2">
        <f>_xlfn.XLOOKUP(Cat_SKU[[#This Row],[Item]],CAT_MOD_v31[NÚMERO DE ARTÍCULO (SAP)],CAT_MOD_v31[AÑO],"",0)</f>
        <v>2025</v>
      </c>
    </row>
    <row r="205" spans="1:7" x14ac:dyDescent="0.35">
      <c r="A205" t="s">
        <v>451</v>
      </c>
      <c r="B205" s="1" t="s">
        <v>528</v>
      </c>
      <c r="D205" t="s">
        <v>260</v>
      </c>
      <c r="E205" s="2" t="str">
        <f>_xlfn.XLOOKUP(Cat_SKU[[#This Row],[Item]],CAT_MOD_v31[NÚMERO DE ARTÍCULO (SAP)],CAT_MOD_v31[RESUMIDO],"",0)</f>
        <v>Dominar 250</v>
      </c>
      <c r="F205" s="2" t="str">
        <f>_xlfn.XLOOKUP(Cat_SKU[[#This Row],[Item]],CAT_MOD_v31[NÚMERO DE ARTÍCULO (SAP)],CAT_MOD_v31[COLOR],"",0)</f>
        <v>Rojo</v>
      </c>
      <c r="G205" s="2">
        <f>_xlfn.XLOOKUP(Cat_SKU[[#This Row],[Item]],CAT_MOD_v31[NÚMERO DE ARTÍCULO (SAP)],CAT_MOD_v31[AÑO],"",0)</f>
        <v>2025</v>
      </c>
    </row>
    <row r="206" spans="1:7" x14ac:dyDescent="0.35">
      <c r="A206" t="s">
        <v>451</v>
      </c>
      <c r="B206" s="1" t="s">
        <v>531</v>
      </c>
      <c r="D206" t="s">
        <v>370</v>
      </c>
      <c r="E206" s="2" t="str">
        <f>_xlfn.XLOOKUP(Cat_SKU[[#This Row],[Item]],CAT_MOD_v31[NÚMERO DE ARTÍCULO (SAP)],CAT_MOD_v31[RESUMIDO],"",0)</f>
        <v>Dominar 400</v>
      </c>
      <c r="F206" s="2" t="str">
        <f>_xlfn.XLOOKUP(Cat_SKU[[#This Row],[Item]],CAT_MOD_v31[NÚMERO DE ARTÍCULO (SAP)],CAT_MOD_v31[COLOR],"",0)</f>
        <v>Rojo</v>
      </c>
      <c r="G206" s="2">
        <f>_xlfn.XLOOKUP(Cat_SKU[[#This Row],[Item]],CAT_MOD_v31[NÚMERO DE ARTÍCULO (SAP)],CAT_MOD_v31[AÑO],"",0)</f>
        <v>2025</v>
      </c>
    </row>
    <row r="207" spans="1:7" x14ac:dyDescent="0.35">
      <c r="A207" t="s">
        <v>451</v>
      </c>
      <c r="B207" s="1" t="s">
        <v>461</v>
      </c>
      <c r="C207" t="s">
        <v>552</v>
      </c>
      <c r="D207" t="s">
        <v>280</v>
      </c>
      <c r="E207" s="2" t="str">
        <f>_xlfn.XLOOKUP(Cat_SKU[[#This Row],[Item]],CAT_MOD_v31[NÚMERO DE ARTÍCULO (SAP)],CAT_MOD_v31[RESUMIDO],"",0)</f>
        <v>Pulsar NS400z</v>
      </c>
      <c r="F207" s="2" t="str">
        <f>_xlfn.XLOOKUP(Cat_SKU[[#This Row],[Item]],CAT_MOD_v31[NÚMERO DE ARTÍCULO (SAP)],CAT_MOD_v31[COLOR],"",0)</f>
        <v>Gris</v>
      </c>
      <c r="G207" s="2">
        <f>_xlfn.XLOOKUP(Cat_SKU[[#This Row],[Item]],CAT_MOD_v31[NÚMERO DE ARTÍCULO (SAP)],CAT_MOD_v31[AÑO],"",0)</f>
        <v>2025</v>
      </c>
    </row>
    <row r="208" spans="1:7" x14ac:dyDescent="0.35">
      <c r="A208" t="s">
        <v>451</v>
      </c>
      <c r="B208" s="1" t="s">
        <v>529</v>
      </c>
      <c r="D208" t="s">
        <v>278</v>
      </c>
      <c r="E208" s="2" t="str">
        <f>_xlfn.XLOOKUP(Cat_SKU[[#This Row],[Item]],CAT_MOD_v31[NÚMERO DE ARTÍCULO (SAP)],CAT_MOD_v31[RESUMIDO],"",0)</f>
        <v>Pulsar NS400z</v>
      </c>
      <c r="F208" s="2" t="str">
        <f>_xlfn.XLOOKUP(Cat_SKU[[#This Row],[Item]],CAT_MOD_v31[NÚMERO DE ARTÍCULO (SAP)],CAT_MOD_v31[COLOR],"",0)</f>
        <v>Negro</v>
      </c>
      <c r="G208" s="2">
        <f>_xlfn.XLOOKUP(Cat_SKU[[#This Row],[Item]],CAT_MOD_v31[NÚMERO DE ARTÍCULO (SAP)],CAT_MOD_v31[AÑO],"",0)</f>
        <v>2025</v>
      </c>
    </row>
    <row r="209" spans="1:7" x14ac:dyDescent="0.35">
      <c r="A209" t="s">
        <v>451</v>
      </c>
      <c r="B209" s="1" t="s">
        <v>538</v>
      </c>
      <c r="D209" t="s">
        <v>359</v>
      </c>
      <c r="E209" s="2" t="str">
        <f>_xlfn.XLOOKUP(Cat_SKU[[#This Row],[Item]],CAT_MOD_v31[NÚMERO DE ARTÍCULO (SAP)],CAT_MOD_v31[RESUMIDO],"",0)</f>
        <v>Pulsar N250 FI ABS UG</v>
      </c>
      <c r="F209" s="2" t="str">
        <f>_xlfn.XLOOKUP(Cat_SKU[[#This Row],[Item]],CAT_MOD_v31[NÚMERO DE ARTÍCULO (SAP)],CAT_MOD_v31[COLOR],"",0)</f>
        <v>Negro</v>
      </c>
      <c r="G209" s="2">
        <f>_xlfn.XLOOKUP(Cat_SKU[[#This Row],[Item]],CAT_MOD_v31[NÚMERO DE ARTÍCULO (SAP)],CAT_MOD_v31[AÑO],"",0)</f>
        <v>2025</v>
      </c>
    </row>
    <row r="210" spans="1:7" x14ac:dyDescent="0.35">
      <c r="A210" t="s">
        <v>451</v>
      </c>
      <c r="B210" s="1" t="s">
        <v>487</v>
      </c>
      <c r="C210" t="s">
        <v>578</v>
      </c>
      <c r="D210" t="s">
        <v>276</v>
      </c>
      <c r="E210" s="2" t="str">
        <f>_xlfn.XLOOKUP(Cat_SKU[[#This Row],[Item]],CAT_MOD_v31[NÚMERO DE ARTÍCULO (SAP)],CAT_MOD_v31[RESUMIDO],"",0)</f>
        <v>Pulsar N250</v>
      </c>
      <c r="F210" s="2" t="str">
        <f>_xlfn.XLOOKUP(Cat_SKU[[#This Row],[Item]],CAT_MOD_v31[NÚMERO DE ARTÍCULO (SAP)],CAT_MOD_v31[COLOR],"",0)</f>
        <v>Amarillo</v>
      </c>
      <c r="G210" s="2">
        <f>_xlfn.XLOOKUP(Cat_SKU[[#This Row],[Item]],CAT_MOD_v31[NÚMERO DE ARTÍCULO (SAP)],CAT_MOD_v31[AÑO],"",0)</f>
        <v>2025</v>
      </c>
    </row>
    <row r="211" spans="1:7" x14ac:dyDescent="0.35">
      <c r="A211" t="s">
        <v>451</v>
      </c>
      <c r="B211" s="1" t="s">
        <v>482</v>
      </c>
      <c r="C211" t="s">
        <v>573</v>
      </c>
      <c r="D211" t="s">
        <v>270</v>
      </c>
      <c r="E211" s="2" t="str">
        <f>_xlfn.XLOOKUP(Cat_SKU[[#This Row],[Item]],CAT_MOD_v31[NÚMERO DE ARTÍCULO (SAP)],CAT_MOD_v31[RESUMIDO],"",0)</f>
        <v>Pulsar N250 FI ABS</v>
      </c>
      <c r="F211" s="2" t="str">
        <f>_xlfn.XLOOKUP(Cat_SKU[[#This Row],[Item]],CAT_MOD_v31[NÚMERO DE ARTÍCULO (SAP)],CAT_MOD_v31[COLOR],"",0)</f>
        <v>Negro</v>
      </c>
      <c r="G211" s="2">
        <f>_xlfn.XLOOKUP(Cat_SKU[[#This Row],[Item]],CAT_MOD_v31[NÚMERO DE ARTÍCULO (SAP)],CAT_MOD_v31[AÑO],"",0)</f>
        <v>2026</v>
      </c>
    </row>
    <row r="212" spans="1:7" x14ac:dyDescent="0.35">
      <c r="A212" t="s">
        <v>451</v>
      </c>
      <c r="B212" s="1" t="s">
        <v>483</v>
      </c>
      <c r="C212" t="s">
        <v>574</v>
      </c>
      <c r="D212" t="s">
        <v>305</v>
      </c>
      <c r="E212" s="2" t="str">
        <f>_xlfn.XLOOKUP(Cat_SKU[[#This Row],[Item]],CAT_MOD_v31[NÚMERO DE ARTÍCULO (SAP)],CAT_MOD_v31[RESUMIDO],"",0)</f>
        <v>Pulsar N250</v>
      </c>
      <c r="F212" s="2" t="str">
        <f>_xlfn.XLOOKUP(Cat_SKU[[#This Row],[Item]],CAT_MOD_v31[NÚMERO DE ARTÍCULO (SAP)],CAT_MOD_v31[COLOR],"",0)</f>
        <v>Negro</v>
      </c>
      <c r="G212" s="2">
        <f>_xlfn.XLOOKUP(Cat_SKU[[#This Row],[Item]],CAT_MOD_v31[NÚMERO DE ARTÍCULO (SAP)],CAT_MOD_v31[AÑO],"",0)</f>
        <v>2026</v>
      </c>
    </row>
    <row r="213" spans="1:7" x14ac:dyDescent="0.35">
      <c r="A213" t="s">
        <v>451</v>
      </c>
      <c r="B213" s="1" t="s">
        <v>484</v>
      </c>
      <c r="C213" t="s">
        <v>575</v>
      </c>
      <c r="D213" t="s">
        <v>271</v>
      </c>
      <c r="E213" s="2" t="str">
        <f>_xlfn.XLOOKUP(Cat_SKU[[#This Row],[Item]],CAT_MOD_v31[NÚMERO DE ARTÍCULO (SAP)],CAT_MOD_v31[RESUMIDO],"",0)</f>
        <v>Pulsar N160</v>
      </c>
      <c r="F213" s="2" t="str">
        <f>_xlfn.XLOOKUP(Cat_SKU[[#This Row],[Item]],CAT_MOD_v31[NÚMERO DE ARTÍCULO (SAP)],CAT_MOD_v31[COLOR],"",0)</f>
        <v>Negro</v>
      </c>
      <c r="G213" s="2">
        <f>_xlfn.XLOOKUP(Cat_SKU[[#This Row],[Item]],CAT_MOD_v31[NÚMERO DE ARTÍCULO (SAP)],CAT_MOD_v31[AÑO],"",0)</f>
        <v>2026</v>
      </c>
    </row>
    <row r="214" spans="1:7" x14ac:dyDescent="0.35">
      <c r="A214" t="s">
        <v>451</v>
      </c>
      <c r="B214" s="1" t="s">
        <v>488</v>
      </c>
      <c r="C214" t="s">
        <v>579</v>
      </c>
      <c r="D214" t="s">
        <v>313</v>
      </c>
      <c r="E214" s="2" t="str">
        <f>_xlfn.XLOOKUP(Cat_SKU[[#This Row],[Item]],CAT_MOD_v31[NÚMERO DE ARTÍCULO (SAP)],CAT_MOD_v31[RESUMIDO],"",0)</f>
        <v>Pulsar N250</v>
      </c>
      <c r="F214" s="2" t="str">
        <f>_xlfn.XLOOKUP(Cat_SKU[[#This Row],[Item]],CAT_MOD_v31[NÚMERO DE ARTÍCULO (SAP)],CAT_MOD_v31[COLOR],"",0)</f>
        <v>Azul</v>
      </c>
      <c r="G214" s="2">
        <f>_xlfn.XLOOKUP(Cat_SKU[[#This Row],[Item]],CAT_MOD_v31[NÚMERO DE ARTÍCULO (SAP)],CAT_MOD_v31[AÑO],"",0)</f>
        <v>2026</v>
      </c>
    </row>
    <row r="215" spans="1:7" x14ac:dyDescent="0.35">
      <c r="A215" t="s">
        <v>451</v>
      </c>
      <c r="B215" s="1" t="s">
        <v>464</v>
      </c>
      <c r="C215" t="s">
        <v>555</v>
      </c>
      <c r="D215" t="s">
        <v>361</v>
      </c>
      <c r="E215" s="2" t="str">
        <f>_xlfn.XLOOKUP(Cat_SKU[[#This Row],[Item]],CAT_MOD_v31[NÚMERO DE ARTÍCULO (SAP)],CAT_MOD_v31[RESUMIDO],"",0)</f>
        <v>Pulsar N125 FI-CBS</v>
      </c>
      <c r="F215" s="2" t="str">
        <f>_xlfn.XLOOKUP(Cat_SKU[[#This Row],[Item]],CAT_MOD_v31[NÚMERO DE ARTÍCULO (SAP)],CAT_MOD_v31[COLOR],"",0)</f>
        <v>Citrus</v>
      </c>
      <c r="G215" s="2">
        <f>_xlfn.XLOOKUP(Cat_SKU[[#This Row],[Item]],CAT_MOD_v31[NÚMERO DE ARTÍCULO (SAP)],CAT_MOD_v31[AÑO],"",0)</f>
        <v>2026</v>
      </c>
    </row>
    <row r="216" spans="1:7" x14ac:dyDescent="0.35">
      <c r="A216" t="s">
        <v>451</v>
      </c>
      <c r="B216" s="1" t="s">
        <v>465</v>
      </c>
      <c r="C216" t="s">
        <v>556</v>
      </c>
      <c r="D216" t="s">
        <v>262</v>
      </c>
      <c r="E216" s="2" t="str">
        <f>_xlfn.XLOOKUP(Cat_SKU[[#This Row],[Item]],CAT_MOD_v31[NÚMERO DE ARTÍCULO (SAP)],CAT_MOD_v31[RESUMIDO],"",0)</f>
        <v>Pulsar N125 FI-CBS</v>
      </c>
      <c r="F216" s="2" t="str">
        <f>_xlfn.XLOOKUP(Cat_SKU[[#This Row],[Item]],CAT_MOD_v31[NÚMERO DE ARTÍCULO (SAP)],CAT_MOD_v31[COLOR],"",0)</f>
        <v>Purpura</v>
      </c>
      <c r="G216" s="2">
        <f>_xlfn.XLOOKUP(Cat_SKU[[#This Row],[Item]],CAT_MOD_v31[NÚMERO DE ARTÍCULO (SAP)],CAT_MOD_v31[AÑO],"",0)</f>
        <v>2026</v>
      </c>
    </row>
    <row r="217" spans="1:7" x14ac:dyDescent="0.35">
      <c r="A217" t="s">
        <v>451</v>
      </c>
      <c r="B217" s="1" t="s">
        <v>467</v>
      </c>
      <c r="C217" t="s">
        <v>558</v>
      </c>
      <c r="D217" t="s">
        <v>263</v>
      </c>
      <c r="E217" s="2" t="str">
        <f>_xlfn.XLOOKUP(Cat_SKU[[#This Row],[Item]],CAT_MOD_v31[NÚMERO DE ARTÍCULO (SAP)],CAT_MOD_v31[RESUMIDO],"",0)</f>
        <v>Pulsar N125 FI-CBS</v>
      </c>
      <c r="F217" s="2" t="str">
        <f>_xlfn.XLOOKUP(Cat_SKU[[#This Row],[Item]],CAT_MOD_v31[NÚMERO DE ARTÍCULO (SAP)],CAT_MOD_v31[COLOR],"",0)</f>
        <v>Rojo</v>
      </c>
      <c r="G217" s="2">
        <f>_xlfn.XLOOKUP(Cat_SKU[[#This Row],[Item]],CAT_MOD_v31[NÚMERO DE ARTÍCULO (SAP)],CAT_MOD_v31[AÑO],"",0)</f>
        <v>2026</v>
      </c>
    </row>
    <row r="218" spans="1:7" x14ac:dyDescent="0.35">
      <c r="A218" t="s">
        <v>451</v>
      </c>
      <c r="B218" s="1" t="s">
        <v>489</v>
      </c>
      <c r="C218" t="s">
        <v>580</v>
      </c>
      <c r="D218" t="s">
        <v>308</v>
      </c>
      <c r="E218" s="2" t="str">
        <f>_xlfn.XLOOKUP(Cat_SKU[[#This Row],[Item]],CAT_MOD_v31[NÚMERO DE ARTÍCULO (SAP)],CAT_MOD_v31[RESUMIDO],"",0)</f>
        <v>Dominar 400</v>
      </c>
      <c r="F218" s="2" t="str">
        <f>_xlfn.XLOOKUP(Cat_SKU[[#This Row],[Item]],CAT_MOD_v31[NÚMERO DE ARTÍCULO (SAP)],CAT_MOD_v31[COLOR],"",0)</f>
        <v>Negro</v>
      </c>
      <c r="G218" s="2">
        <f>_xlfn.XLOOKUP(Cat_SKU[[#This Row],[Item]],CAT_MOD_v31[NÚMERO DE ARTÍCULO (SAP)],CAT_MOD_v31[AÑO],"",0)</f>
        <v>2026</v>
      </c>
    </row>
    <row r="219" spans="1:7" x14ac:dyDescent="0.35">
      <c r="A219" t="s">
        <v>451</v>
      </c>
      <c r="B219" s="1" t="s">
        <v>490</v>
      </c>
      <c r="C219" t="s">
        <v>581</v>
      </c>
      <c r="D219" t="s">
        <v>309</v>
      </c>
      <c r="E219" s="2" t="str">
        <f>_xlfn.XLOOKUP(Cat_SKU[[#This Row],[Item]],CAT_MOD_v31[NÚMERO DE ARTÍCULO (SAP)],CAT_MOD_v31[RESUMIDO],"",0)</f>
        <v>Dominar 400</v>
      </c>
      <c r="F219" s="2" t="str">
        <f>_xlfn.XLOOKUP(Cat_SKU[[#This Row],[Item]],CAT_MOD_v31[NÚMERO DE ARTÍCULO (SAP)],CAT_MOD_v31[COLOR],"",0)</f>
        <v>Verde</v>
      </c>
      <c r="G219" s="2">
        <f>_xlfn.XLOOKUP(Cat_SKU[[#This Row],[Item]],CAT_MOD_v31[NÚMERO DE ARTÍCULO (SAP)],CAT_MOD_v31[AÑO],"",0)</f>
        <v>2026</v>
      </c>
    </row>
    <row r="220" spans="1:7" x14ac:dyDescent="0.35">
      <c r="A220" t="s">
        <v>451</v>
      </c>
      <c r="B220" s="1" t="s">
        <v>491</v>
      </c>
      <c r="C220" t="s">
        <v>582</v>
      </c>
      <c r="D220" t="s">
        <v>268</v>
      </c>
      <c r="E220" s="2" t="str">
        <f>_xlfn.XLOOKUP(Cat_SKU[[#This Row],[Item]],CAT_MOD_v31[NÚMERO DE ARTÍCULO (SAP)],CAT_MOD_v31[RESUMIDO],"",0)</f>
        <v>Pulsar N160 FI ABS</v>
      </c>
      <c r="F220" s="2" t="str">
        <f>_xlfn.XLOOKUP(Cat_SKU[[#This Row],[Item]],CAT_MOD_v31[NÚMERO DE ARTÍCULO (SAP)],CAT_MOD_v31[COLOR],"",0)</f>
        <v>Negro</v>
      </c>
      <c r="G220" s="2">
        <f>_xlfn.XLOOKUP(Cat_SKU[[#This Row],[Item]],CAT_MOD_v31[NÚMERO DE ARTÍCULO (SAP)],CAT_MOD_v31[AÑO],"",0)</f>
        <v>2025</v>
      </c>
    </row>
    <row r="221" spans="1:7" x14ac:dyDescent="0.35">
      <c r="A221" t="s">
        <v>451</v>
      </c>
      <c r="B221" s="1" t="s">
        <v>536</v>
      </c>
      <c r="D221" t="s">
        <v>360</v>
      </c>
      <c r="E221" s="2" t="str">
        <f>_xlfn.XLOOKUP(Cat_SKU[[#This Row],[Item]],CAT_MOD_v31[NÚMERO DE ARTÍCULO (SAP)],CAT_MOD_v31[RESUMIDO],"",0)</f>
        <v>Pulsar N250 FI ABS</v>
      </c>
      <c r="F221" s="2" t="str">
        <f>_xlfn.XLOOKUP(Cat_SKU[[#This Row],[Item]],CAT_MOD_v31[NÚMERO DE ARTÍCULO (SAP)],CAT_MOD_v31[COLOR],"",0)</f>
        <v>Rojo</v>
      </c>
      <c r="G221" s="2">
        <f>_xlfn.XLOOKUP(Cat_SKU[[#This Row],[Item]],CAT_MOD_v31[NÚMERO DE ARTÍCULO (SAP)],CAT_MOD_v31[AÑO],"",0)</f>
        <v>2026</v>
      </c>
    </row>
    <row r="222" spans="1:7" x14ac:dyDescent="0.35">
      <c r="A222" t="s">
        <v>451</v>
      </c>
      <c r="B222" s="1" t="s">
        <v>537</v>
      </c>
      <c r="D222" t="s">
        <v>288</v>
      </c>
      <c r="E222" s="2" t="str">
        <f>_xlfn.XLOOKUP(Cat_SKU[[#This Row],[Item]],CAT_MOD_v31[NÚMERO DE ARTÍCULO (SAP)],CAT_MOD_v31[RESUMIDO],"",0)</f>
        <v>Pulsar N250</v>
      </c>
      <c r="F222" s="2" t="str">
        <f>_xlfn.XLOOKUP(Cat_SKU[[#This Row],[Item]],CAT_MOD_v31[NÚMERO DE ARTÍCULO (SAP)],CAT_MOD_v31[COLOR],"",0)</f>
        <v>Amarillo</v>
      </c>
      <c r="G222" s="2">
        <f>_xlfn.XLOOKUP(Cat_SKU[[#This Row],[Item]],CAT_MOD_v31[NÚMERO DE ARTÍCULO (SAP)],CAT_MOD_v31[AÑO],"",0)</f>
        <v>2026</v>
      </c>
    </row>
    <row r="223" spans="1:7" x14ac:dyDescent="0.35">
      <c r="A223" t="s">
        <v>451</v>
      </c>
      <c r="B223" s="1" t="s">
        <v>539</v>
      </c>
      <c r="C223" t="s">
        <v>69</v>
      </c>
      <c r="D223" t="s">
        <v>407</v>
      </c>
      <c r="E223" s="2" t="str">
        <f>_xlfn.XLOOKUP(Cat_SKU[[#This Row],[Item]],CAT_MOD_v31[NÚMERO DE ARTÍCULO (SAP)],CAT_MOD_v31[RESUMIDO],"",0)</f>
        <v>Pulsar N250 FI ABS</v>
      </c>
      <c r="F223" s="2" t="str">
        <f>_xlfn.XLOOKUP(Cat_SKU[[#This Row],[Item]],CAT_MOD_v31[NÚMERO DE ARTÍCULO (SAP)],CAT_MOD_v31[COLOR],"",0)</f>
        <v>Perla</v>
      </c>
      <c r="G223" s="2">
        <f>_xlfn.XLOOKUP(Cat_SKU[[#This Row],[Item]],CAT_MOD_v31[NÚMERO DE ARTÍCULO (SAP)],CAT_MOD_v31[AÑO],"",0)</f>
        <v>2026</v>
      </c>
    </row>
    <row r="224" spans="1:7" x14ac:dyDescent="0.35">
      <c r="A224" t="s">
        <v>451</v>
      </c>
      <c r="B224" s="1" t="s">
        <v>774</v>
      </c>
      <c r="C224" t="s">
        <v>807</v>
      </c>
      <c r="D224" t="s">
        <v>288</v>
      </c>
      <c r="E224" s="2" t="str">
        <f>_xlfn.XLOOKUP(Cat_SKU[[#This Row],[Item]],CAT_MOD_v31[NÚMERO DE ARTÍCULO (SAP)],CAT_MOD_v31[RESUMIDO],"",0)</f>
        <v>Pulsar N250</v>
      </c>
      <c r="F224" s="2" t="str">
        <f>_xlfn.XLOOKUP(Cat_SKU[[#This Row],[Item]],CAT_MOD_v31[NÚMERO DE ARTÍCULO (SAP)],CAT_MOD_v31[COLOR],"",0)</f>
        <v>Amarillo</v>
      </c>
      <c r="G224" s="2">
        <f>_xlfn.XLOOKUP(Cat_SKU[[#This Row],[Item]],CAT_MOD_v31[NÚMERO DE ARTÍCULO (SAP)],CAT_MOD_v31[AÑO],"",0)</f>
        <v>2026</v>
      </c>
    </row>
    <row r="225" spans="1:7" x14ac:dyDescent="0.35">
      <c r="A225" t="s">
        <v>451</v>
      </c>
      <c r="B225" s="1" t="s">
        <v>773</v>
      </c>
      <c r="C225" t="s">
        <v>579</v>
      </c>
      <c r="D225" t="s">
        <v>313</v>
      </c>
      <c r="E225" s="2" t="str">
        <f>_xlfn.XLOOKUP(Cat_SKU[[#This Row],[Item]],CAT_MOD_v31[NÚMERO DE ARTÍCULO (SAP)],CAT_MOD_v31[RESUMIDO],"",0)</f>
        <v>Pulsar N250</v>
      </c>
      <c r="F225" s="2" t="str">
        <f>_xlfn.XLOOKUP(Cat_SKU[[#This Row],[Item]],CAT_MOD_v31[NÚMERO DE ARTÍCULO (SAP)],CAT_MOD_v31[COLOR],"",0)</f>
        <v>Azul</v>
      </c>
      <c r="G225" s="2">
        <f>_xlfn.XLOOKUP(Cat_SKU[[#This Row],[Item]],CAT_MOD_v31[NÚMERO DE ARTÍCULO (SAP)],CAT_MOD_v31[AÑO],"",0)</f>
        <v>2026</v>
      </c>
    </row>
    <row r="226" spans="1:7" x14ac:dyDescent="0.35">
      <c r="A226" t="s">
        <v>451</v>
      </c>
      <c r="B226" s="1" t="s">
        <v>540</v>
      </c>
      <c r="D226" t="s">
        <v>369</v>
      </c>
      <c r="E226" s="2" t="str">
        <f>_xlfn.XLOOKUP(Cat_SKU[[#This Row],[Item]],CAT_MOD_v31[NÚMERO DE ARTÍCULO (SAP)],CAT_MOD_v31[RESUMIDO],"",0)</f>
        <v>Pulsar NS125 UG</v>
      </c>
      <c r="F226" s="2" t="str">
        <f>_xlfn.XLOOKUP(Cat_SKU[[#This Row],[Item]],CAT_MOD_v31[NÚMERO DE ARTÍCULO (SAP)],CAT_MOD_v31[COLOR],"",0)</f>
        <v>Azul</v>
      </c>
      <c r="G226" s="2">
        <f>_xlfn.XLOOKUP(Cat_SKU[[#This Row],[Item]],CAT_MOD_v31[NÚMERO DE ARTÍCULO (SAP)],CAT_MOD_v31[AÑO],"",0)</f>
        <v>2025</v>
      </c>
    </row>
    <row r="227" spans="1:7" x14ac:dyDescent="0.35">
      <c r="A227" t="s">
        <v>451</v>
      </c>
      <c r="B227" s="1" t="s">
        <v>541</v>
      </c>
      <c r="D227" t="s">
        <v>272</v>
      </c>
      <c r="E227" s="2" t="str">
        <f>_xlfn.XLOOKUP(Cat_SKU[[#This Row],[Item]],CAT_MOD_v31[NÚMERO DE ARTÍCULO (SAP)],CAT_MOD_v31[RESUMIDO],"",0)</f>
        <v>Pulsar N250 FI ABS UG</v>
      </c>
      <c r="F227" s="2" t="str">
        <f>_xlfn.XLOOKUP(Cat_SKU[[#This Row],[Item]],CAT_MOD_v31[NÚMERO DE ARTÍCULO (SAP)],CAT_MOD_v31[COLOR],"",0)</f>
        <v>Rojo</v>
      </c>
      <c r="G227" s="2">
        <f>_xlfn.XLOOKUP(Cat_SKU[[#This Row],[Item]],CAT_MOD_v31[NÚMERO DE ARTÍCULO (SAP)],CAT_MOD_v31[AÑO],"",0)</f>
        <v>2025</v>
      </c>
    </row>
    <row r="228" spans="1:7" x14ac:dyDescent="0.35">
      <c r="A228" t="s">
        <v>3</v>
      </c>
      <c r="B228" s="1">
        <v>500153</v>
      </c>
      <c r="C228" t="s">
        <v>81</v>
      </c>
      <c r="D228" t="s">
        <v>410</v>
      </c>
      <c r="E228" s="2" t="str">
        <f>_xlfn.XLOOKUP(Cat_SKU[[#This Row],[Item]],CAT_MOD_v31[NÚMERO DE ARTÍCULO (SAP)],CAT_MOD_v31[RESUMIDO],"",0)</f>
        <v>Pulsar NS160</v>
      </c>
      <c r="F228" s="2" t="str">
        <f>_xlfn.XLOOKUP(Cat_SKU[[#This Row],[Item]],CAT_MOD_v31[NÚMERO DE ARTÍCULO (SAP)],CAT_MOD_v31[COLOR],"",0)</f>
        <v>Azul</v>
      </c>
      <c r="G228" s="2">
        <f>_xlfn.XLOOKUP(Cat_SKU[[#This Row],[Item]],CAT_MOD_v31[NÚMERO DE ARTÍCULO (SAP)],CAT_MOD_v31[AÑO],"",0)</f>
        <v>2021</v>
      </c>
    </row>
    <row r="229" spans="1:7" x14ac:dyDescent="0.35">
      <c r="A229" t="s">
        <v>3</v>
      </c>
      <c r="B229" s="1">
        <v>501161</v>
      </c>
      <c r="C229" t="s">
        <v>63</v>
      </c>
      <c r="D229" t="s">
        <v>359</v>
      </c>
      <c r="E229" s="2" t="str">
        <f>_xlfn.XLOOKUP(Cat_SKU[[#This Row],[Item]],CAT_MOD_v31[NÚMERO DE ARTÍCULO (SAP)],CAT_MOD_v31[RESUMIDO],"",0)</f>
        <v>Pulsar N250 FI ABS UG</v>
      </c>
      <c r="F229" s="2" t="str">
        <f>_xlfn.XLOOKUP(Cat_SKU[[#This Row],[Item]],CAT_MOD_v31[NÚMERO DE ARTÍCULO (SAP)],CAT_MOD_v31[COLOR],"",0)</f>
        <v>Negro</v>
      </c>
      <c r="G229" s="2">
        <f>_xlfn.XLOOKUP(Cat_SKU[[#This Row],[Item]],CAT_MOD_v31[NÚMERO DE ARTÍCULO (SAP)],CAT_MOD_v31[AÑO],"",0)</f>
        <v>2025</v>
      </c>
    </row>
    <row r="230" spans="1:7" x14ac:dyDescent="0.35">
      <c r="A230" t="s">
        <v>3</v>
      </c>
      <c r="B230" s="1">
        <v>501437</v>
      </c>
      <c r="C230" t="s">
        <v>77</v>
      </c>
      <c r="D230" t="s">
        <v>273</v>
      </c>
      <c r="E230" s="2" t="str">
        <f>_xlfn.XLOOKUP(Cat_SKU[[#This Row],[Item]],CAT_MOD_v31[NÚMERO DE ARTÍCULO (SAP)],CAT_MOD_v31[RESUMIDO],"",0)</f>
        <v>Pulsar N250</v>
      </c>
      <c r="F230" s="2" t="str">
        <f>_xlfn.XLOOKUP(Cat_SKU[[#This Row],[Item]],CAT_MOD_v31[NÚMERO DE ARTÍCULO (SAP)],CAT_MOD_v31[COLOR],"",0)</f>
        <v>Negro</v>
      </c>
      <c r="G230" s="2">
        <f>_xlfn.XLOOKUP(Cat_SKU[[#This Row],[Item]],CAT_MOD_v31[NÚMERO DE ARTÍCULO (SAP)],CAT_MOD_v31[AÑO],"",0)</f>
        <v>2025</v>
      </c>
    </row>
    <row r="231" spans="1:7" x14ac:dyDescent="0.35">
      <c r="A231" t="s">
        <v>3</v>
      </c>
      <c r="B231" s="1">
        <v>502343</v>
      </c>
      <c r="C231" t="s">
        <v>59</v>
      </c>
      <c r="D231" t="s">
        <v>402</v>
      </c>
      <c r="E231" s="2" t="str">
        <f>_xlfn.XLOOKUP(Cat_SKU[[#This Row],[Item]],CAT_MOD_v31[NÚMERO DE ARTÍCULO (SAP)],CAT_MOD_v31[RESUMIDO],"",0)</f>
        <v>Pulsar 150</v>
      </c>
      <c r="F231" s="2" t="str">
        <f>_xlfn.XLOOKUP(Cat_SKU[[#This Row],[Item]],CAT_MOD_v31[NÚMERO DE ARTÍCULO (SAP)],CAT_MOD_v31[COLOR],"",0)</f>
        <v>Negro</v>
      </c>
      <c r="G231" s="2">
        <f>_xlfn.XLOOKUP(Cat_SKU[[#This Row],[Item]],CAT_MOD_v31[NÚMERO DE ARTÍCULO (SAP)],CAT_MOD_v31[AÑO],"",0)</f>
        <v>2021</v>
      </c>
    </row>
    <row r="232" spans="1:7" x14ac:dyDescent="0.35">
      <c r="A232" t="s">
        <v>3</v>
      </c>
      <c r="B232" s="1">
        <v>502433</v>
      </c>
      <c r="C232" t="s">
        <v>61</v>
      </c>
      <c r="D232" t="s">
        <v>404</v>
      </c>
      <c r="E232" s="2" t="str">
        <f>_xlfn.XLOOKUP(Cat_SKU[[#This Row],[Item]],CAT_MOD_v31[NÚMERO DE ARTÍCULO (SAP)],CAT_MOD_v31[RESUMIDO],"",0)</f>
        <v>Pulsar 220</v>
      </c>
      <c r="F232" s="2" t="str">
        <f>_xlfn.XLOOKUP(Cat_SKU[[#This Row],[Item]],CAT_MOD_v31[NÚMERO DE ARTÍCULO (SAP)],CAT_MOD_v31[COLOR],"",0)</f>
        <v>Negro</v>
      </c>
      <c r="G232" s="2">
        <f>_xlfn.XLOOKUP(Cat_SKU[[#This Row],[Item]],CAT_MOD_v31[NÚMERO DE ARTÍCULO (SAP)],CAT_MOD_v31[AÑO],"",0)</f>
        <v>2021</v>
      </c>
    </row>
    <row r="233" spans="1:7" x14ac:dyDescent="0.35">
      <c r="A233" t="s">
        <v>3</v>
      </c>
      <c r="B233" s="1">
        <v>502492</v>
      </c>
      <c r="C233" t="s">
        <v>5</v>
      </c>
      <c r="D233" t="s">
        <v>383</v>
      </c>
      <c r="E233" s="2" t="str">
        <f>_xlfn.XLOOKUP(Cat_SKU[[#This Row],[Item]],CAT_MOD_v31[NÚMERO DE ARTÍCULO (SAP)],CAT_MOD_v31[RESUMIDO],"",0)</f>
        <v>Pulsar RS200</v>
      </c>
      <c r="F233" s="2" t="str">
        <f>_xlfn.XLOOKUP(Cat_SKU[[#This Row],[Item]],CAT_MOD_v31[NÚMERO DE ARTÍCULO (SAP)],CAT_MOD_v31[COLOR],"",0)</f>
        <v>Gris</v>
      </c>
      <c r="G233" s="2">
        <f>_xlfn.XLOOKUP(Cat_SKU[[#This Row],[Item]],CAT_MOD_v31[NÚMERO DE ARTÍCULO (SAP)],CAT_MOD_v31[AÑO],"",0)</f>
        <v>2021</v>
      </c>
    </row>
    <row r="234" spans="1:7" x14ac:dyDescent="0.35">
      <c r="A234" t="s">
        <v>3</v>
      </c>
      <c r="B234" s="1">
        <v>503805</v>
      </c>
      <c r="C234" t="s">
        <v>75</v>
      </c>
      <c r="D234" t="s">
        <v>276</v>
      </c>
      <c r="E234" s="2" t="str">
        <f>_xlfn.XLOOKUP(Cat_SKU[[#This Row],[Item]],CAT_MOD_v31[NÚMERO DE ARTÍCULO (SAP)],CAT_MOD_v31[RESUMIDO],"",0)</f>
        <v>Pulsar N250</v>
      </c>
      <c r="F234" s="2" t="str">
        <f>_xlfn.XLOOKUP(Cat_SKU[[#This Row],[Item]],CAT_MOD_v31[NÚMERO DE ARTÍCULO (SAP)],CAT_MOD_v31[COLOR],"",0)</f>
        <v>Amarillo</v>
      </c>
      <c r="G234" s="2">
        <f>_xlfn.XLOOKUP(Cat_SKU[[#This Row],[Item]],CAT_MOD_v31[NÚMERO DE ARTÍCULO (SAP)],CAT_MOD_v31[AÑO],"",0)</f>
        <v>2025</v>
      </c>
    </row>
    <row r="235" spans="1:7" x14ac:dyDescent="0.35">
      <c r="A235" t="s">
        <v>3</v>
      </c>
      <c r="B235" s="1">
        <v>503814</v>
      </c>
      <c r="C235" t="s">
        <v>64</v>
      </c>
      <c r="D235" t="s">
        <v>406</v>
      </c>
      <c r="E235" s="2" t="str">
        <f>_xlfn.XLOOKUP(Cat_SKU[[#This Row],[Item]],CAT_MOD_v31[NÚMERO DE ARTÍCULO (SAP)],CAT_MOD_v31[RESUMIDO],"",0)</f>
        <v>Pulsar N250 FI ABS UG</v>
      </c>
      <c r="F235" s="2" t="str">
        <f>_xlfn.XLOOKUP(Cat_SKU[[#This Row],[Item]],CAT_MOD_v31[NÚMERO DE ARTÍCULO (SAP)],CAT_MOD_v31[COLOR],"",0)</f>
        <v>Perla</v>
      </c>
      <c r="G235" s="2">
        <f>_xlfn.XLOOKUP(Cat_SKU[[#This Row],[Item]],CAT_MOD_v31[NÚMERO DE ARTÍCULO (SAP)],CAT_MOD_v31[AÑO],"",0)</f>
        <v>2025</v>
      </c>
    </row>
    <row r="236" spans="1:7" x14ac:dyDescent="0.35">
      <c r="A236" t="s">
        <v>3</v>
      </c>
      <c r="B236" s="1">
        <v>507893</v>
      </c>
      <c r="C236" t="s">
        <v>11</v>
      </c>
      <c r="D236" t="s">
        <v>324</v>
      </c>
      <c r="E236" s="2" t="str">
        <f>_xlfn.XLOOKUP(Cat_SKU[[#This Row],[Item]],CAT_MOD_v31[NÚMERO DE ARTÍCULO (SAP)],CAT_MOD_v31[RESUMIDO],"",0)</f>
        <v>Pulsar RS200</v>
      </c>
      <c r="F236" s="2" t="str">
        <f>_xlfn.XLOOKUP(Cat_SKU[[#This Row],[Item]],CAT_MOD_v31[NÚMERO DE ARTÍCULO (SAP)],CAT_MOD_v31[COLOR],"",0)</f>
        <v>Perla</v>
      </c>
      <c r="G236" s="2">
        <f>_xlfn.XLOOKUP(Cat_SKU[[#This Row],[Item]],CAT_MOD_v31[NÚMERO DE ARTÍCULO (SAP)],CAT_MOD_v31[AÑO],"",0)</f>
        <v>2022</v>
      </c>
    </row>
    <row r="237" spans="1:7" x14ac:dyDescent="0.35">
      <c r="A237" t="s">
        <v>3</v>
      </c>
      <c r="B237" s="1">
        <v>509398</v>
      </c>
      <c r="C237" t="s">
        <v>94</v>
      </c>
      <c r="D237" t="s">
        <v>320</v>
      </c>
      <c r="E237" s="2" t="str">
        <f>_xlfn.XLOOKUP(Cat_SKU[[#This Row],[Item]],CAT_MOD_v31[NÚMERO DE ARTÍCULO (SAP)],CAT_MOD_v31[RESUMIDO],"",0)</f>
        <v>Boxer BM150</v>
      </c>
      <c r="F237" s="2" t="str">
        <f>_xlfn.XLOOKUP(Cat_SKU[[#This Row],[Item]],CAT_MOD_v31[NÚMERO DE ARTÍCULO (SAP)],CAT_MOD_v31[COLOR],"",0)</f>
        <v>Blanco</v>
      </c>
      <c r="G237" s="2">
        <f>_xlfn.XLOOKUP(Cat_SKU[[#This Row],[Item]],CAT_MOD_v31[NÚMERO DE ARTÍCULO (SAP)],CAT_MOD_v31[AÑO],"",0)</f>
        <v>2022</v>
      </c>
    </row>
    <row r="238" spans="1:7" x14ac:dyDescent="0.35">
      <c r="A238" t="s">
        <v>3</v>
      </c>
      <c r="B238" s="1">
        <v>509487</v>
      </c>
      <c r="C238" t="s">
        <v>91</v>
      </c>
      <c r="D238" t="s">
        <v>415</v>
      </c>
      <c r="E238" s="2" t="str">
        <f>_xlfn.XLOOKUP(Cat_SKU[[#This Row],[Item]],CAT_MOD_v31[NÚMERO DE ARTÍCULO (SAP)],CAT_MOD_v31[RESUMIDO],"",0)</f>
        <v>Platina ES100</v>
      </c>
      <c r="F238" s="2" t="str">
        <f>_xlfn.XLOOKUP(Cat_SKU[[#This Row],[Item]],CAT_MOD_v31[NÚMERO DE ARTÍCULO (SAP)],CAT_MOD_v31[COLOR],"",0)</f>
        <v>Rojo</v>
      </c>
      <c r="G238" s="2">
        <f>_xlfn.XLOOKUP(Cat_SKU[[#This Row],[Item]],CAT_MOD_v31[NÚMERO DE ARTÍCULO (SAP)],CAT_MOD_v31[AÑO],"",0)</f>
        <v>2022</v>
      </c>
    </row>
    <row r="239" spans="1:7" x14ac:dyDescent="0.35">
      <c r="A239" t="s">
        <v>3</v>
      </c>
      <c r="B239" s="1">
        <v>509487</v>
      </c>
      <c r="C239" t="s">
        <v>689</v>
      </c>
      <c r="D239" t="s">
        <v>585</v>
      </c>
      <c r="E239" s="2" t="str">
        <f>_xlfn.XLOOKUP(Cat_SKU[[#This Row],[Item]],CAT_MOD_v31[NÚMERO DE ARTÍCULO (SAP)],CAT_MOD_v31[RESUMIDO],"",0)</f>
        <v>Platina ES100</v>
      </c>
      <c r="F239" s="2" t="str">
        <f>_xlfn.XLOOKUP(Cat_SKU[[#This Row],[Item]],CAT_MOD_v31[NÚMERO DE ARTÍCULO (SAP)],CAT_MOD_v31[COLOR],"",0)</f>
        <v>Rojo</v>
      </c>
      <c r="G239" s="2">
        <f>_xlfn.XLOOKUP(Cat_SKU[[#This Row],[Item]],CAT_MOD_v31[NÚMERO DE ARTÍCULO (SAP)],CAT_MOD_v31[AÑO],"",0)</f>
        <v>2022</v>
      </c>
    </row>
    <row r="240" spans="1:7" x14ac:dyDescent="0.35">
      <c r="A240" t="s">
        <v>3</v>
      </c>
      <c r="B240" s="1">
        <v>509693</v>
      </c>
      <c r="C240" t="s">
        <v>77</v>
      </c>
      <c r="D240" t="s">
        <v>305</v>
      </c>
      <c r="E240" s="2" t="str">
        <f>_xlfn.XLOOKUP(Cat_SKU[[#This Row],[Item]],CAT_MOD_v31[NÚMERO DE ARTÍCULO (SAP)],CAT_MOD_v31[RESUMIDO],"",0)</f>
        <v>Pulsar N250</v>
      </c>
      <c r="F240" s="2" t="str">
        <f>_xlfn.XLOOKUP(Cat_SKU[[#This Row],[Item]],CAT_MOD_v31[NÚMERO DE ARTÍCULO (SAP)],CAT_MOD_v31[COLOR],"",0)</f>
        <v>Negro</v>
      </c>
      <c r="G240" s="2">
        <f>_xlfn.XLOOKUP(Cat_SKU[[#This Row],[Item]],CAT_MOD_v31[NÚMERO DE ARTÍCULO (SAP)],CAT_MOD_v31[AÑO],"",0)</f>
        <v>2026</v>
      </c>
    </row>
    <row r="241" spans="1:7" x14ac:dyDescent="0.35">
      <c r="A241" t="s">
        <v>3</v>
      </c>
      <c r="B241" s="1">
        <v>509715</v>
      </c>
      <c r="C241" t="s">
        <v>68</v>
      </c>
      <c r="D241" t="s">
        <v>270</v>
      </c>
      <c r="E241" s="2" t="str">
        <f>_xlfn.XLOOKUP(Cat_SKU[[#This Row],[Item]],CAT_MOD_v31[NÚMERO DE ARTÍCULO (SAP)],CAT_MOD_v31[RESUMIDO],"",0)</f>
        <v>Pulsar N250 FI ABS</v>
      </c>
      <c r="F241" s="2" t="str">
        <f>_xlfn.XLOOKUP(Cat_SKU[[#This Row],[Item]],CAT_MOD_v31[NÚMERO DE ARTÍCULO (SAP)],CAT_MOD_v31[COLOR],"",0)</f>
        <v>Negro</v>
      </c>
      <c r="G241" s="2">
        <f>_xlfn.XLOOKUP(Cat_SKU[[#This Row],[Item]],CAT_MOD_v31[NÚMERO DE ARTÍCULO (SAP)],CAT_MOD_v31[AÑO],"",0)</f>
        <v>2026</v>
      </c>
    </row>
    <row r="242" spans="1:7" x14ac:dyDescent="0.35">
      <c r="A242" t="s">
        <v>3</v>
      </c>
      <c r="B242" s="1">
        <v>512422</v>
      </c>
      <c r="C242" t="s">
        <v>74</v>
      </c>
      <c r="D242" t="s">
        <v>262</v>
      </c>
      <c r="E242" s="2" t="str">
        <f>_xlfn.XLOOKUP(Cat_SKU[[#This Row],[Item]],CAT_MOD_v31[NÚMERO DE ARTÍCULO (SAP)],CAT_MOD_v31[RESUMIDO],"",0)</f>
        <v>Pulsar N125 FI-CBS</v>
      </c>
      <c r="F242" s="2" t="str">
        <f>_xlfn.XLOOKUP(Cat_SKU[[#This Row],[Item]],CAT_MOD_v31[NÚMERO DE ARTÍCULO (SAP)],CAT_MOD_v31[COLOR],"",0)</f>
        <v>Purpura</v>
      </c>
      <c r="G242" s="2">
        <f>_xlfn.XLOOKUP(Cat_SKU[[#This Row],[Item]],CAT_MOD_v31[NÚMERO DE ARTÍCULO (SAP)],CAT_MOD_v31[AÑO],"",0)</f>
        <v>2026</v>
      </c>
    </row>
    <row r="243" spans="1:7" x14ac:dyDescent="0.35">
      <c r="A243" t="s">
        <v>3</v>
      </c>
      <c r="B243" s="1">
        <v>512481</v>
      </c>
      <c r="C243" t="s">
        <v>76</v>
      </c>
      <c r="D243" t="s">
        <v>288</v>
      </c>
      <c r="E243" s="2" t="str">
        <f>_xlfn.XLOOKUP(Cat_SKU[[#This Row],[Item]],CAT_MOD_v31[NÚMERO DE ARTÍCULO (SAP)],CAT_MOD_v31[RESUMIDO],"",0)</f>
        <v>Pulsar N250</v>
      </c>
      <c r="F243" s="2" t="str">
        <f>_xlfn.XLOOKUP(Cat_SKU[[#This Row],[Item]],CAT_MOD_v31[NÚMERO DE ARTÍCULO (SAP)],CAT_MOD_v31[COLOR],"",0)</f>
        <v>Amarillo</v>
      </c>
      <c r="G243" s="2">
        <f>_xlfn.XLOOKUP(Cat_SKU[[#This Row],[Item]],CAT_MOD_v31[NÚMERO DE ARTÍCULO (SAP)],CAT_MOD_v31[AÑO],"",0)</f>
        <v>2026</v>
      </c>
    </row>
    <row r="244" spans="1:7" x14ac:dyDescent="0.35">
      <c r="A244" t="s">
        <v>3</v>
      </c>
      <c r="B244" s="1">
        <v>512481</v>
      </c>
      <c r="C244" t="s">
        <v>694</v>
      </c>
      <c r="D244" t="s">
        <v>305</v>
      </c>
      <c r="E244" s="2" t="str">
        <f>_xlfn.XLOOKUP(Cat_SKU[[#This Row],[Item]],CAT_MOD_v31[NÚMERO DE ARTÍCULO (SAP)],CAT_MOD_v31[RESUMIDO],"",0)</f>
        <v>Pulsar N250</v>
      </c>
      <c r="F244" s="2" t="str">
        <f>_xlfn.XLOOKUP(Cat_SKU[[#This Row],[Item]],CAT_MOD_v31[NÚMERO DE ARTÍCULO (SAP)],CAT_MOD_v31[COLOR],"",0)</f>
        <v>Negro</v>
      </c>
      <c r="G244" s="2">
        <f>_xlfn.XLOOKUP(Cat_SKU[[#This Row],[Item]],CAT_MOD_v31[NÚMERO DE ARTÍCULO (SAP)],CAT_MOD_v31[AÑO],"",0)</f>
        <v>2026</v>
      </c>
    </row>
    <row r="245" spans="1:7" x14ac:dyDescent="0.35">
      <c r="A245" t="s">
        <v>3</v>
      </c>
      <c r="B245" s="1">
        <v>512498</v>
      </c>
      <c r="C245" t="s">
        <v>69</v>
      </c>
      <c r="D245" t="s">
        <v>407</v>
      </c>
      <c r="E245" s="2" t="str">
        <f>_xlfn.XLOOKUP(Cat_SKU[[#This Row],[Item]],CAT_MOD_v31[NÚMERO DE ARTÍCULO (SAP)],CAT_MOD_v31[RESUMIDO],"",0)</f>
        <v>Pulsar N250 FI ABS</v>
      </c>
      <c r="F245" s="2" t="str">
        <f>_xlfn.XLOOKUP(Cat_SKU[[#This Row],[Item]],CAT_MOD_v31[NÚMERO DE ARTÍCULO (SAP)],CAT_MOD_v31[COLOR],"",0)</f>
        <v>Perla</v>
      </c>
      <c r="G245" s="2">
        <f>_xlfn.XLOOKUP(Cat_SKU[[#This Row],[Item]],CAT_MOD_v31[NÚMERO DE ARTÍCULO (SAP)],CAT_MOD_v31[AÑO],"",0)</f>
        <v>2026</v>
      </c>
    </row>
    <row r="246" spans="1:7" x14ac:dyDescent="0.35">
      <c r="A246" t="s">
        <v>3</v>
      </c>
      <c r="B246" s="1">
        <v>512498</v>
      </c>
      <c r="C246" t="s">
        <v>693</v>
      </c>
      <c r="D246" t="s">
        <v>270</v>
      </c>
      <c r="E246" s="2" t="str">
        <f>_xlfn.XLOOKUP(Cat_SKU[[#This Row],[Item]],CAT_MOD_v31[NÚMERO DE ARTÍCULO (SAP)],CAT_MOD_v31[RESUMIDO],"",0)</f>
        <v>Pulsar N250 FI ABS</v>
      </c>
      <c r="F246" s="2" t="str">
        <f>_xlfn.XLOOKUP(Cat_SKU[[#This Row],[Item]],CAT_MOD_v31[NÚMERO DE ARTÍCULO (SAP)],CAT_MOD_v31[COLOR],"",0)</f>
        <v>Negro</v>
      </c>
      <c r="G246" s="2">
        <f>_xlfn.XLOOKUP(Cat_SKU[[#This Row],[Item]],CAT_MOD_v31[NÚMERO DE ARTÍCULO (SAP)],CAT_MOD_v31[AÑO],"",0)</f>
        <v>2026</v>
      </c>
    </row>
    <row r="247" spans="1:7" x14ac:dyDescent="0.35">
      <c r="A247" t="s">
        <v>3</v>
      </c>
      <c r="B247" s="1">
        <v>512587</v>
      </c>
      <c r="C247" t="s">
        <v>15</v>
      </c>
      <c r="D247" t="s">
        <v>386</v>
      </c>
      <c r="E247" s="2" t="str">
        <f>_xlfn.XLOOKUP(Cat_SKU[[#This Row],[Item]],CAT_MOD_v31[NÚMERO DE ARTÍCULO (SAP)],CAT_MOD_v31[RESUMIDO],"",0)</f>
        <v>Pulsar RS200</v>
      </c>
      <c r="F247" s="2" t="str">
        <f>_xlfn.XLOOKUP(Cat_SKU[[#This Row],[Item]],CAT_MOD_v31[NÚMERO DE ARTÍCULO (SAP)],CAT_MOD_v31[COLOR],"",0)</f>
        <v>Perla</v>
      </c>
      <c r="G247" s="2">
        <f>_xlfn.XLOOKUP(Cat_SKU[[#This Row],[Item]],CAT_MOD_v31[NÚMERO DE ARTÍCULO (SAP)],CAT_MOD_v31[AÑO],"",0)</f>
        <v>2026</v>
      </c>
    </row>
    <row r="248" spans="1:7" x14ac:dyDescent="0.35">
      <c r="A248" t="s">
        <v>3</v>
      </c>
      <c r="B248" s="1">
        <v>512651</v>
      </c>
      <c r="C248" t="s">
        <v>38</v>
      </c>
      <c r="D248" t="s">
        <v>390</v>
      </c>
      <c r="E248" s="2" t="str">
        <f>_xlfn.XLOOKUP(Cat_SKU[[#This Row],[Item]],CAT_MOD_v31[NÚMERO DE ARTÍCULO (SAP)],CAT_MOD_v31[RESUMIDO],"",0)</f>
        <v>Pulsar NS200 UG</v>
      </c>
      <c r="F248" s="2" t="str">
        <f>_xlfn.XLOOKUP(Cat_SKU[[#This Row],[Item]],CAT_MOD_v31[NÚMERO DE ARTÍCULO (SAP)],CAT_MOD_v31[COLOR],"",0)</f>
        <v>Rojo</v>
      </c>
      <c r="G248" s="2">
        <f>_xlfn.XLOOKUP(Cat_SKU[[#This Row],[Item]],CAT_MOD_v31[NÚMERO DE ARTÍCULO (SAP)],CAT_MOD_v31[AÑO],"",0)</f>
        <v>2026</v>
      </c>
    </row>
    <row r="249" spans="1:7" x14ac:dyDescent="0.35">
      <c r="A249" t="s">
        <v>3</v>
      </c>
      <c r="B249" s="1">
        <v>512651</v>
      </c>
      <c r="C249" t="s">
        <v>38</v>
      </c>
      <c r="D249" t="s">
        <v>745</v>
      </c>
      <c r="E249" s="2" t="str">
        <f>_xlfn.XLOOKUP(Cat_SKU[[#This Row],[Item]],CAT_MOD_v31[NÚMERO DE ARTÍCULO (SAP)],CAT_MOD_v31[RESUMIDO],"",0)</f>
        <v>Pulsar NS200</v>
      </c>
      <c r="F249" s="2" t="str">
        <f>_xlfn.XLOOKUP(Cat_SKU[[#This Row],[Item]],CAT_MOD_v31[NÚMERO DE ARTÍCULO (SAP)],CAT_MOD_v31[COLOR],"",0)</f>
        <v>Rojo</v>
      </c>
      <c r="G249" s="2">
        <f>_xlfn.XLOOKUP(Cat_SKU[[#This Row],[Item]],CAT_MOD_v31[NÚMERO DE ARTÍCULO (SAP)],CAT_MOD_v31[AÑO],"",0)</f>
        <v>2026</v>
      </c>
    </row>
    <row r="250" spans="1:7" x14ac:dyDescent="0.35">
      <c r="A250" t="s">
        <v>3</v>
      </c>
      <c r="B250" s="1">
        <v>512724</v>
      </c>
      <c r="C250" t="s">
        <v>102</v>
      </c>
      <c r="D250" t="s">
        <v>419</v>
      </c>
      <c r="E250" s="2" t="str">
        <f>_xlfn.XLOOKUP(Cat_SKU[[#This Row],[Item]],CAT_MOD_v31[NÚMERO DE ARTÍCULO (SAP)],CAT_MOD_v31[RESUMIDO],"",0)</f>
        <v>Avenger Cruise 220</v>
      </c>
      <c r="F250" s="2" t="str">
        <f>_xlfn.XLOOKUP(Cat_SKU[[#This Row],[Item]],CAT_MOD_v31[NÚMERO DE ARTÍCULO (SAP)],CAT_MOD_v31[COLOR],"",0)</f>
        <v>Negro</v>
      </c>
      <c r="G250" s="2">
        <f>_xlfn.XLOOKUP(Cat_SKU[[#This Row],[Item]],CAT_MOD_v31[NÚMERO DE ARTÍCULO (SAP)],CAT_MOD_v31[AÑO],"",0)</f>
        <v>2026</v>
      </c>
    </row>
    <row r="251" spans="1:7" x14ac:dyDescent="0.35">
      <c r="A251" t="s">
        <v>3</v>
      </c>
      <c r="B251" s="1">
        <v>512757</v>
      </c>
      <c r="C251" t="s">
        <v>31</v>
      </c>
      <c r="D251" t="s">
        <v>306</v>
      </c>
      <c r="E251" s="2" t="str">
        <f>_xlfn.XLOOKUP(Cat_SKU[[#This Row],[Item]],CAT_MOD_v31[NÚMERO DE ARTÍCULO (SAP)],CAT_MOD_v31[RESUMIDO],"",0)</f>
        <v>Pulsar NS200 UG</v>
      </c>
      <c r="F251" s="2" t="str">
        <f>_xlfn.XLOOKUP(Cat_SKU[[#This Row],[Item]],CAT_MOD_v31[NÚMERO DE ARTÍCULO (SAP)],CAT_MOD_v31[COLOR],"",0)</f>
        <v>Gris</v>
      </c>
      <c r="G251" s="2">
        <f>_xlfn.XLOOKUP(Cat_SKU[[#This Row],[Item]],CAT_MOD_v31[NÚMERO DE ARTÍCULO (SAP)],CAT_MOD_v31[AÑO],"",0)</f>
        <v>2026</v>
      </c>
    </row>
    <row r="252" spans="1:7" x14ac:dyDescent="0.35">
      <c r="A252" t="s">
        <v>3</v>
      </c>
      <c r="B252" s="1">
        <v>512757</v>
      </c>
      <c r="C252" t="s">
        <v>31</v>
      </c>
      <c r="D252" t="s">
        <v>746</v>
      </c>
      <c r="E252" s="2" t="str">
        <f>_xlfn.XLOOKUP(Cat_SKU[[#This Row],[Item]],CAT_MOD_v31[NÚMERO DE ARTÍCULO (SAP)],CAT_MOD_v31[RESUMIDO],"",0)</f>
        <v>Pulsar NS200</v>
      </c>
      <c r="F252" s="2" t="str">
        <f>_xlfn.XLOOKUP(Cat_SKU[[#This Row],[Item]],CAT_MOD_v31[NÚMERO DE ARTÍCULO (SAP)],CAT_MOD_v31[COLOR],"",0)</f>
        <v>Gris</v>
      </c>
      <c r="G252" s="2">
        <f>_xlfn.XLOOKUP(Cat_SKU[[#This Row],[Item]],CAT_MOD_v31[NÚMERO DE ARTÍCULO (SAP)],CAT_MOD_v31[AÑO],"",0)</f>
        <v>2026</v>
      </c>
    </row>
    <row r="253" spans="1:7" x14ac:dyDescent="0.35">
      <c r="A253" t="s">
        <v>3</v>
      </c>
      <c r="B253" s="1">
        <v>512805</v>
      </c>
      <c r="C253" t="s">
        <v>26</v>
      </c>
      <c r="D253" t="s">
        <v>387</v>
      </c>
      <c r="E253" s="2" t="str">
        <f>_xlfn.XLOOKUP(Cat_SKU[[#This Row],[Item]],CAT_MOD_v31[NÚMERO DE ARTÍCULO (SAP)],CAT_MOD_v31[RESUMIDO],"",0)</f>
        <v xml:space="preserve">Pulsar NS125 UG </v>
      </c>
      <c r="F253" s="2" t="str">
        <f>_xlfn.XLOOKUP(Cat_SKU[[#This Row],[Item]],CAT_MOD_v31[NÚMERO DE ARTÍCULO (SAP)],CAT_MOD_v31[COLOR],"",0)</f>
        <v>Gris</v>
      </c>
      <c r="G253" s="2">
        <f>_xlfn.XLOOKUP(Cat_SKU[[#This Row],[Item]],CAT_MOD_v31[NÚMERO DE ARTÍCULO (SAP)],CAT_MOD_v31[AÑO],"",0)</f>
        <v>2026</v>
      </c>
    </row>
    <row r="254" spans="1:7" x14ac:dyDescent="0.35">
      <c r="A254" t="s">
        <v>3</v>
      </c>
      <c r="B254" s="1">
        <v>512846</v>
      </c>
      <c r="C254" t="s">
        <v>23</v>
      </c>
      <c r="D254" t="s">
        <v>311</v>
      </c>
      <c r="E254" s="2" t="str">
        <f>_xlfn.XLOOKUP(Cat_SKU[[#This Row],[Item]],CAT_MOD_v31[NÚMERO DE ARTÍCULO (SAP)],CAT_MOD_v31[RESUMIDO],"",0)</f>
        <v>Pulsar NS160 UG</v>
      </c>
      <c r="F254" s="2" t="str">
        <f>_xlfn.XLOOKUP(Cat_SKU[[#This Row],[Item]],CAT_MOD_v31[NÚMERO DE ARTÍCULO (SAP)],CAT_MOD_v31[COLOR],"",0)</f>
        <v>Perla</v>
      </c>
      <c r="G254" s="2">
        <f>_xlfn.XLOOKUP(Cat_SKU[[#This Row],[Item]],CAT_MOD_v31[NÚMERO DE ARTÍCULO (SAP)],CAT_MOD_v31[AÑO],"",0)</f>
        <v>2026</v>
      </c>
    </row>
    <row r="255" spans="1:7" x14ac:dyDescent="0.35">
      <c r="A255" t="s">
        <v>3</v>
      </c>
      <c r="B255" s="1">
        <v>512846</v>
      </c>
      <c r="C255" t="s">
        <v>23</v>
      </c>
      <c r="D255" t="s">
        <v>747</v>
      </c>
      <c r="E255" s="2" t="str">
        <f>_xlfn.XLOOKUP(Cat_SKU[[#This Row],[Item]],CAT_MOD_v31[NÚMERO DE ARTÍCULO (SAP)],CAT_MOD_v31[RESUMIDO],"",0)</f>
        <v>Pulsar NS160</v>
      </c>
      <c r="F255" s="2" t="str">
        <f>_xlfn.XLOOKUP(Cat_SKU[[#This Row],[Item]],CAT_MOD_v31[NÚMERO DE ARTÍCULO (SAP)],CAT_MOD_v31[COLOR],"",0)</f>
        <v>Perla</v>
      </c>
      <c r="G255" s="2">
        <f>_xlfn.XLOOKUP(Cat_SKU[[#This Row],[Item]],CAT_MOD_v31[NÚMERO DE ARTÍCULO (SAP)],CAT_MOD_v31[AÑO],"",0)</f>
        <v>2026</v>
      </c>
    </row>
    <row r="256" spans="1:7" x14ac:dyDescent="0.35">
      <c r="A256" t="s">
        <v>3</v>
      </c>
      <c r="B256" s="1">
        <v>512902</v>
      </c>
      <c r="C256" t="s">
        <v>18</v>
      </c>
      <c r="D256" t="s">
        <v>310</v>
      </c>
      <c r="E256" s="2" t="str">
        <f>_xlfn.XLOOKUP(Cat_SKU[[#This Row],[Item]],CAT_MOD_v31[NÚMERO DE ARTÍCULO (SAP)],CAT_MOD_v31[RESUMIDO],"",0)</f>
        <v>Pulsar NS160 UG</v>
      </c>
      <c r="F256" s="2" t="str">
        <f>_xlfn.XLOOKUP(Cat_SKU[[#This Row],[Item]],CAT_MOD_v31[NÚMERO DE ARTÍCULO (SAP)],CAT_MOD_v31[COLOR],"",0)</f>
        <v>Gris</v>
      </c>
      <c r="G256" s="2">
        <f>_xlfn.XLOOKUP(Cat_SKU[[#This Row],[Item]],CAT_MOD_v31[NÚMERO DE ARTÍCULO (SAP)],CAT_MOD_v31[AÑO],"",0)</f>
        <v>2026</v>
      </c>
    </row>
    <row r="257" spans="1:7" x14ac:dyDescent="0.35">
      <c r="A257" t="s">
        <v>3</v>
      </c>
      <c r="B257" s="1">
        <v>512902</v>
      </c>
      <c r="C257" t="s">
        <v>18</v>
      </c>
      <c r="D257" t="s">
        <v>748</v>
      </c>
      <c r="E257" s="2" t="str">
        <f>_xlfn.XLOOKUP(Cat_SKU[[#This Row],[Item]],CAT_MOD_v31[NÚMERO DE ARTÍCULO (SAP)],CAT_MOD_v31[RESUMIDO],"",0)</f>
        <v>Pulsar NS160</v>
      </c>
      <c r="F257" s="2" t="str">
        <f>_xlfn.XLOOKUP(Cat_SKU[[#This Row],[Item]],CAT_MOD_v31[NÚMERO DE ARTÍCULO (SAP)],CAT_MOD_v31[COLOR],"",0)</f>
        <v>Gris</v>
      </c>
      <c r="G257" s="2">
        <f>_xlfn.XLOOKUP(Cat_SKU[[#This Row],[Item]],CAT_MOD_v31[NÚMERO DE ARTÍCULO (SAP)],CAT_MOD_v31[AÑO],"",0)</f>
        <v>2026</v>
      </c>
    </row>
    <row r="258" spans="1:7" x14ac:dyDescent="0.35">
      <c r="A258" t="s">
        <v>3</v>
      </c>
      <c r="B258" s="1">
        <v>515545</v>
      </c>
      <c r="D258" t="s">
        <v>361</v>
      </c>
      <c r="E258" s="2" t="str">
        <f>_xlfn.XLOOKUP(Cat_SKU[[#This Row],[Item]],CAT_MOD_v31[NÚMERO DE ARTÍCULO (SAP)],CAT_MOD_v31[RESUMIDO],"",0)</f>
        <v>Pulsar N125 FI-CBS</v>
      </c>
      <c r="F258" s="2" t="str">
        <f>_xlfn.XLOOKUP(Cat_SKU[[#This Row],[Item]],CAT_MOD_v31[NÚMERO DE ARTÍCULO (SAP)],CAT_MOD_v31[COLOR],"",0)</f>
        <v>Citrus</v>
      </c>
      <c r="G258" s="2">
        <f>_xlfn.XLOOKUP(Cat_SKU[[#This Row],[Item]],CAT_MOD_v31[NÚMERO DE ARTÍCULO (SAP)],CAT_MOD_v31[AÑO],"",0)</f>
        <v>2026</v>
      </c>
    </row>
    <row r="259" spans="1:7" x14ac:dyDescent="0.35">
      <c r="A259" t="s">
        <v>3</v>
      </c>
      <c r="B259" s="1">
        <v>515985</v>
      </c>
      <c r="D259" t="s">
        <v>420</v>
      </c>
      <c r="E259" s="2" t="str">
        <f>_xlfn.XLOOKUP(Cat_SKU[[#This Row],[Item]],CAT_MOD_v31[NÚMERO DE ARTÍCULO (SAP)],CAT_MOD_v31[RESUMIDO],"",0)</f>
        <v>Pulsar N160</v>
      </c>
      <c r="F259" s="2" t="str">
        <f>_xlfn.XLOOKUP(Cat_SKU[[#This Row],[Item]],CAT_MOD_v31[NÚMERO DE ARTÍCULO (SAP)],CAT_MOD_v31[COLOR],"",0)</f>
        <v>Negro</v>
      </c>
      <c r="G259" s="2">
        <f>_xlfn.XLOOKUP(Cat_SKU[[#This Row],[Item]],CAT_MOD_v31[NÚMERO DE ARTÍCULO (SAP)],CAT_MOD_v31[AÑO],"",0)</f>
        <v>2026</v>
      </c>
    </row>
    <row r="260" spans="1:7" x14ac:dyDescent="0.35">
      <c r="A260" t="s">
        <v>3</v>
      </c>
      <c r="B260" s="1">
        <v>518915</v>
      </c>
      <c r="C260" t="s">
        <v>45</v>
      </c>
      <c r="D260" t="s">
        <v>396</v>
      </c>
      <c r="E260" s="2" t="str">
        <f>_xlfn.XLOOKUP(Cat_SKU[[#This Row],[Item]],CAT_MOD_v31[NÚMERO DE ARTÍCULO (SAP)],CAT_MOD_v31[RESUMIDO],"",0)</f>
        <v>Pulsar NS200</v>
      </c>
      <c r="F260" s="2" t="str">
        <f>_xlfn.XLOOKUP(Cat_SKU[[#This Row],[Item]],CAT_MOD_v31[NÚMERO DE ARTÍCULO (SAP)],CAT_MOD_v31[COLOR],"",0)</f>
        <v>Gris</v>
      </c>
      <c r="G260" s="2">
        <f>_xlfn.XLOOKUP(Cat_SKU[[#This Row],[Item]],CAT_MOD_v31[NÚMERO DE ARTÍCULO (SAP)],CAT_MOD_v31[AÑO],"",0)</f>
        <v>2022</v>
      </c>
    </row>
    <row r="261" spans="1:7" x14ac:dyDescent="0.35">
      <c r="A261" t="s">
        <v>3</v>
      </c>
      <c r="B261" s="1">
        <v>518923</v>
      </c>
      <c r="C261" t="s">
        <v>6</v>
      </c>
      <c r="D261" t="s">
        <v>384</v>
      </c>
      <c r="E261" s="2" t="str">
        <f>_xlfn.XLOOKUP(Cat_SKU[[#This Row],[Item]],CAT_MOD_v31[NÚMERO DE ARTÍCULO (SAP)],CAT_MOD_v31[RESUMIDO],"",0)</f>
        <v>Pulsar RS200</v>
      </c>
      <c r="F261" s="2" t="str">
        <f>_xlfn.XLOOKUP(Cat_SKU[[#This Row],[Item]],CAT_MOD_v31[NÚMERO DE ARTÍCULO (SAP)],CAT_MOD_v31[COLOR],"",0)</f>
        <v>Gris</v>
      </c>
      <c r="G261" s="2">
        <f>_xlfn.XLOOKUP(Cat_SKU[[#This Row],[Item]],CAT_MOD_v31[NÚMERO DE ARTÍCULO (SAP)],CAT_MOD_v31[AÑO],"",0)</f>
        <v>2022</v>
      </c>
    </row>
    <row r="262" spans="1:7" x14ac:dyDescent="0.35">
      <c r="A262" t="s">
        <v>3</v>
      </c>
      <c r="B262" s="1">
        <v>519059</v>
      </c>
      <c r="C262" t="s">
        <v>82</v>
      </c>
      <c r="D262" t="s">
        <v>322</v>
      </c>
      <c r="E262" s="2" t="str">
        <f>_xlfn.XLOOKUP(Cat_SKU[[#This Row],[Item]],CAT_MOD_v31[NÚMERO DE ARTÍCULO (SAP)],CAT_MOD_v31[RESUMIDO],"",0)</f>
        <v>Pulsar NS160</v>
      </c>
      <c r="F262" s="2" t="str">
        <f>_xlfn.XLOOKUP(Cat_SKU[[#This Row],[Item]],CAT_MOD_v31[NÚMERO DE ARTÍCULO (SAP)],CAT_MOD_v31[COLOR],"",0)</f>
        <v>Azul</v>
      </c>
      <c r="G262" s="2">
        <f>_xlfn.XLOOKUP(Cat_SKU[[#This Row],[Item]],CAT_MOD_v31[NÚMERO DE ARTÍCULO (SAP)],CAT_MOD_v31[AÑO],"",0)</f>
        <v>2022</v>
      </c>
    </row>
    <row r="263" spans="1:7" x14ac:dyDescent="0.35">
      <c r="A263" t="s">
        <v>3</v>
      </c>
      <c r="B263" s="1">
        <v>519182</v>
      </c>
      <c r="C263" t="s">
        <v>62</v>
      </c>
      <c r="D263" t="s">
        <v>405</v>
      </c>
      <c r="E263" s="2" t="str">
        <f>_xlfn.XLOOKUP(Cat_SKU[[#This Row],[Item]],CAT_MOD_v31[NÚMERO DE ARTÍCULO (SAP)],CAT_MOD_v31[RESUMIDO],"",0)</f>
        <v>Pulsar 220</v>
      </c>
      <c r="F263" s="2" t="str">
        <f>_xlfn.XLOOKUP(Cat_SKU[[#This Row],[Item]],CAT_MOD_v31[NÚMERO DE ARTÍCULO (SAP)],CAT_MOD_v31[COLOR],"",0)</f>
        <v>Negro</v>
      </c>
      <c r="G263" s="2">
        <f>_xlfn.XLOOKUP(Cat_SKU[[#This Row],[Item]],CAT_MOD_v31[NÚMERO DE ARTÍCULO (SAP)],CAT_MOD_v31[AÑO],"",0)</f>
        <v>2022</v>
      </c>
    </row>
    <row r="264" spans="1:7" x14ac:dyDescent="0.35">
      <c r="A264" t="s">
        <v>3</v>
      </c>
      <c r="B264" s="1">
        <v>519199</v>
      </c>
      <c r="C264" t="s">
        <v>50</v>
      </c>
      <c r="D264" t="s">
        <v>398</v>
      </c>
      <c r="E264" s="2" t="str">
        <f>_xlfn.XLOOKUP(Cat_SKU[[#This Row],[Item]],CAT_MOD_v31[NÚMERO DE ARTÍCULO (SAP)],CAT_MOD_v31[RESUMIDO],"",0)</f>
        <v>Pulsar LS125</v>
      </c>
      <c r="F264" s="2" t="str">
        <f>_xlfn.XLOOKUP(Cat_SKU[[#This Row],[Item]],CAT_MOD_v31[NÚMERO DE ARTÍCULO (SAP)],CAT_MOD_v31[COLOR],"",0)</f>
        <v>Amarillo</v>
      </c>
      <c r="G264" s="2">
        <f>_xlfn.XLOOKUP(Cat_SKU[[#This Row],[Item]],CAT_MOD_v31[NÚMERO DE ARTÍCULO (SAP)],CAT_MOD_v31[AÑO],"",0)</f>
        <v>2022</v>
      </c>
    </row>
    <row r="265" spans="1:7" x14ac:dyDescent="0.35">
      <c r="A265" t="s">
        <v>3</v>
      </c>
      <c r="B265" s="1">
        <v>519203</v>
      </c>
      <c r="C265" t="s">
        <v>54</v>
      </c>
      <c r="D265" t="s">
        <v>323</v>
      </c>
      <c r="E265" s="2" t="str">
        <f>_xlfn.XLOOKUP(Cat_SKU[[#This Row],[Item]],CAT_MOD_v31[NÚMERO DE ARTÍCULO (SAP)],CAT_MOD_v31[RESUMIDO],"",0)</f>
        <v>Pulsar LS125</v>
      </c>
      <c r="F265" s="2" t="str">
        <f>_xlfn.XLOOKUP(Cat_SKU[[#This Row],[Item]],CAT_MOD_v31[NÚMERO DE ARTÍCULO (SAP)],CAT_MOD_v31[COLOR],"",0)</f>
        <v>Negro</v>
      </c>
      <c r="G265" s="2">
        <f>_xlfn.XLOOKUP(Cat_SKU[[#This Row],[Item]],CAT_MOD_v31[NÚMERO DE ARTÍCULO (SAP)],CAT_MOD_v31[AÑO],"",0)</f>
        <v>2022</v>
      </c>
    </row>
    <row r="266" spans="1:7" x14ac:dyDescent="0.35">
      <c r="A266" t="s">
        <v>3</v>
      </c>
      <c r="B266" s="1">
        <v>519271</v>
      </c>
      <c r="C266" t="s">
        <v>60</v>
      </c>
      <c r="D266" t="s">
        <v>403</v>
      </c>
      <c r="E266" s="2" t="str">
        <f>_xlfn.XLOOKUP(Cat_SKU[[#This Row],[Item]],CAT_MOD_v31[NÚMERO DE ARTÍCULO (SAP)],CAT_MOD_v31[RESUMIDO],"",0)</f>
        <v>Pulsar 150</v>
      </c>
      <c r="F266" s="2" t="str">
        <f>_xlfn.XLOOKUP(Cat_SKU[[#This Row],[Item]],CAT_MOD_v31[NÚMERO DE ARTÍCULO (SAP)],CAT_MOD_v31[COLOR],"",0)</f>
        <v>Negro</v>
      </c>
      <c r="G266" s="2">
        <f>_xlfn.XLOOKUP(Cat_SKU[[#This Row],[Item]],CAT_MOD_v31[NÚMERO DE ARTÍCULO (SAP)],CAT_MOD_v31[AÑO],"",0)</f>
        <v>2022</v>
      </c>
    </row>
    <row r="267" spans="1:7" x14ac:dyDescent="0.35">
      <c r="A267" t="s">
        <v>3</v>
      </c>
      <c r="B267" s="1">
        <v>519334</v>
      </c>
      <c r="C267" t="s">
        <v>98</v>
      </c>
      <c r="D267" t="s">
        <v>319</v>
      </c>
      <c r="E267" s="2" t="str">
        <f>_xlfn.XLOOKUP(Cat_SKU[[#This Row],[Item]],CAT_MOD_v31[NÚMERO DE ARTÍCULO (SAP)],CAT_MOD_v31[RESUMIDO],"",0)</f>
        <v>Avenger Cruise 220</v>
      </c>
      <c r="F267" s="2" t="str">
        <f>_xlfn.XLOOKUP(Cat_SKU[[#This Row],[Item]],CAT_MOD_v31[NÚMERO DE ARTÍCULO (SAP)],CAT_MOD_v31[COLOR],"",0)</f>
        <v>Negro</v>
      </c>
      <c r="G267" s="2">
        <f>_xlfn.XLOOKUP(Cat_SKU[[#This Row],[Item]],CAT_MOD_v31[NÚMERO DE ARTÍCULO (SAP)],CAT_MOD_v31[AÑO],"",0)</f>
        <v>2022</v>
      </c>
    </row>
    <row r="268" spans="1:7" x14ac:dyDescent="0.35">
      <c r="A268" t="s">
        <v>3</v>
      </c>
      <c r="B268" s="1">
        <v>528856</v>
      </c>
      <c r="C268" t="s">
        <v>86</v>
      </c>
      <c r="D268" t="s">
        <v>412</v>
      </c>
      <c r="E268" s="2" t="str">
        <f>_xlfn.XLOOKUP(Cat_SKU[[#This Row],[Item]],CAT_MOD_v31[NÚMERO DE ARTÍCULO (SAP)],CAT_MOD_v31[RESUMIDO],"",0)</f>
        <v>Pulsar NS160</v>
      </c>
      <c r="F268" s="2" t="str">
        <f>_xlfn.XLOOKUP(Cat_SKU[[#This Row],[Item]],CAT_MOD_v31[NÚMERO DE ARTÍCULO (SAP)],CAT_MOD_v31[COLOR],"",0)</f>
        <v>Perla</v>
      </c>
      <c r="G268" s="2">
        <f>_xlfn.XLOOKUP(Cat_SKU[[#This Row],[Item]],CAT_MOD_v31[NÚMERO DE ARTÍCULO (SAP)],CAT_MOD_v31[AÑO],"",0)</f>
        <v>2022</v>
      </c>
    </row>
    <row r="269" spans="1:7" x14ac:dyDescent="0.35">
      <c r="A269" t="s">
        <v>3</v>
      </c>
      <c r="B269" s="1">
        <v>531148</v>
      </c>
      <c r="C269" t="s">
        <v>40</v>
      </c>
      <c r="D269" t="s">
        <v>392</v>
      </c>
      <c r="E269" s="2" t="str">
        <f>_xlfn.XLOOKUP(Cat_SKU[[#This Row],[Item]],CAT_MOD_v31[NÚMERO DE ARTÍCULO (SAP)],CAT_MOD_v31[RESUMIDO],"",0)</f>
        <v>Pulsar 200 FI</v>
      </c>
      <c r="F269" s="2" t="str">
        <f>_xlfn.XLOOKUP(Cat_SKU[[#This Row],[Item]],CAT_MOD_v31[NÚMERO DE ARTÍCULO (SAP)],CAT_MOD_v31[COLOR],"",0)</f>
        <v>Perla</v>
      </c>
      <c r="G269" s="2">
        <f>_xlfn.XLOOKUP(Cat_SKU[[#This Row],[Item]],CAT_MOD_v31[NÚMERO DE ARTÍCULO (SAP)],CAT_MOD_v31[AÑO],"",0)</f>
        <v>2022</v>
      </c>
    </row>
    <row r="270" spans="1:7" x14ac:dyDescent="0.35">
      <c r="A270" t="s">
        <v>3</v>
      </c>
      <c r="B270" s="1">
        <v>531203</v>
      </c>
      <c r="C270" t="s">
        <v>41</v>
      </c>
      <c r="D270" t="s">
        <v>393</v>
      </c>
      <c r="E270" s="2" t="str">
        <f>_xlfn.XLOOKUP(Cat_SKU[[#This Row],[Item]],CAT_MOD_v31[NÚMERO DE ARTÍCULO (SAP)],CAT_MOD_v31[RESUMIDO],"",0)</f>
        <v>Pulsar 200 FI</v>
      </c>
      <c r="F270" s="2" t="str">
        <f>_xlfn.XLOOKUP(Cat_SKU[[#This Row],[Item]],CAT_MOD_v31[NÚMERO DE ARTÍCULO (SAP)],CAT_MOD_v31[COLOR],"",0)</f>
        <v>Rojo</v>
      </c>
      <c r="G270" s="2">
        <f>_xlfn.XLOOKUP(Cat_SKU[[#This Row],[Item]],CAT_MOD_v31[NÚMERO DE ARTÍCULO (SAP)],CAT_MOD_v31[AÑO],"",0)</f>
        <v>2022</v>
      </c>
    </row>
    <row r="271" spans="1:7" x14ac:dyDescent="0.35">
      <c r="A271" t="s">
        <v>3</v>
      </c>
      <c r="B271" s="1">
        <v>539424</v>
      </c>
      <c r="C271" t="s">
        <v>4</v>
      </c>
      <c r="D271" t="s">
        <v>377</v>
      </c>
      <c r="E271" s="2" t="str">
        <f>_xlfn.XLOOKUP(Cat_SKU[[#This Row],[Item]],CAT_MOD_v31[NÚMERO DE ARTÍCULO (SAP)],CAT_MOD_v31[RESUMIDO],"",0)</f>
        <v>Pulsar RS200</v>
      </c>
      <c r="F271" s="2" t="str">
        <f>_xlfn.XLOOKUP(Cat_SKU[[#This Row],[Item]],CAT_MOD_v31[NÚMERO DE ARTÍCULO (SAP)],CAT_MOD_v31[COLOR],"",0)</f>
        <v>Negro</v>
      </c>
      <c r="G271" s="2">
        <f>_xlfn.XLOOKUP(Cat_SKU[[#This Row],[Item]],CAT_MOD_v31[NÚMERO DE ARTÍCULO (SAP)],CAT_MOD_v31[AÑO],"",0)</f>
        <v>2022</v>
      </c>
    </row>
    <row r="272" spans="1:7" x14ac:dyDescent="0.35">
      <c r="A272" t="s">
        <v>3</v>
      </c>
      <c r="B272" s="1">
        <v>539599</v>
      </c>
      <c r="C272" t="s">
        <v>43</v>
      </c>
      <c r="D272" t="s">
        <v>394</v>
      </c>
      <c r="E272" s="2" t="str">
        <f>_xlfn.XLOOKUP(Cat_SKU[[#This Row],[Item]],CAT_MOD_v31[NÚMERO DE ARTÍCULO (SAP)],CAT_MOD_v31[RESUMIDO],"",0)</f>
        <v>Pulsar NS200</v>
      </c>
      <c r="F272" s="2" t="str">
        <f>_xlfn.XLOOKUP(Cat_SKU[[#This Row],[Item]],CAT_MOD_v31[NÚMERO DE ARTÍCULO (SAP)],CAT_MOD_v31[COLOR],"",0)</f>
        <v>Negro</v>
      </c>
      <c r="G272" s="2">
        <f>_xlfn.XLOOKUP(Cat_SKU[[#This Row],[Item]],CAT_MOD_v31[NÚMERO DE ARTÍCULO (SAP)],CAT_MOD_v31[AÑO],"",0)</f>
        <v>2022</v>
      </c>
    </row>
    <row r="273" spans="1:7" x14ac:dyDescent="0.35">
      <c r="A273" t="s">
        <v>3</v>
      </c>
      <c r="B273" s="1">
        <v>540919</v>
      </c>
      <c r="C273" t="s">
        <v>86</v>
      </c>
      <c r="D273" t="s">
        <v>412</v>
      </c>
      <c r="E273" s="2" t="str">
        <f>_xlfn.XLOOKUP(Cat_SKU[[#This Row],[Item]],CAT_MOD_v31[NÚMERO DE ARTÍCULO (SAP)],CAT_MOD_v31[RESUMIDO],"",0)</f>
        <v>Pulsar NS160</v>
      </c>
      <c r="F273" s="2" t="str">
        <f>_xlfn.XLOOKUP(Cat_SKU[[#This Row],[Item]],CAT_MOD_v31[NÚMERO DE ARTÍCULO (SAP)],CAT_MOD_v31[COLOR],"",0)</f>
        <v>Perla</v>
      </c>
      <c r="G273" s="2">
        <f>_xlfn.XLOOKUP(Cat_SKU[[#This Row],[Item]],CAT_MOD_v31[NÚMERO DE ARTÍCULO (SAP)],CAT_MOD_v31[AÑO],"",0)</f>
        <v>2022</v>
      </c>
    </row>
    <row r="274" spans="1:7" x14ac:dyDescent="0.35">
      <c r="A274" t="s">
        <v>3</v>
      </c>
      <c r="B274" s="1">
        <v>544713</v>
      </c>
      <c r="C274" t="s">
        <v>85</v>
      </c>
      <c r="D274" t="s">
        <v>411</v>
      </c>
      <c r="E274" s="2" t="str">
        <f>_xlfn.XLOOKUP(Cat_SKU[[#This Row],[Item]],CAT_MOD_v31[NÚMERO DE ARTÍCULO (SAP)],CAT_MOD_v31[RESUMIDO],"",0)</f>
        <v>Pulsar NS160</v>
      </c>
      <c r="F274" s="2" t="str">
        <f>_xlfn.XLOOKUP(Cat_SKU[[#This Row],[Item]],CAT_MOD_v31[NÚMERO DE ARTÍCULO (SAP)],CAT_MOD_v31[COLOR],"",0)</f>
        <v>Perla</v>
      </c>
      <c r="G274" s="2">
        <f>_xlfn.XLOOKUP(Cat_SKU[[#This Row],[Item]],CAT_MOD_v31[NÚMERO DE ARTÍCULO (SAP)],CAT_MOD_v31[AÑO],"",0)</f>
        <v>2022</v>
      </c>
    </row>
    <row r="275" spans="1:7" x14ac:dyDescent="0.35">
      <c r="A275" t="s">
        <v>3</v>
      </c>
      <c r="B275" s="1">
        <v>544721</v>
      </c>
      <c r="C275" t="s">
        <v>80</v>
      </c>
      <c r="D275" t="s">
        <v>374</v>
      </c>
      <c r="E275" s="2" t="str">
        <f>_xlfn.XLOOKUP(Cat_SKU[[#This Row],[Item]],CAT_MOD_v31[NÚMERO DE ARTÍCULO (SAP)],CAT_MOD_v31[RESUMIDO],"",0)</f>
        <v>Pulsar NS160</v>
      </c>
      <c r="F275" s="2" t="str">
        <f>_xlfn.XLOOKUP(Cat_SKU[[#This Row],[Item]],CAT_MOD_v31[NÚMERO DE ARTÍCULO (SAP)],CAT_MOD_v31[COLOR],"",0)</f>
        <v>Azul</v>
      </c>
      <c r="G275" s="2">
        <f>_xlfn.XLOOKUP(Cat_SKU[[#This Row],[Item]],CAT_MOD_v31[NÚMERO DE ARTÍCULO (SAP)],CAT_MOD_v31[AÑO],"",0)</f>
        <v>2022</v>
      </c>
    </row>
    <row r="276" spans="1:7" x14ac:dyDescent="0.35">
      <c r="A276" t="s">
        <v>3</v>
      </c>
      <c r="B276" s="1">
        <v>547354</v>
      </c>
      <c r="C276" t="s">
        <v>39</v>
      </c>
      <c r="D276" t="s">
        <v>391</v>
      </c>
      <c r="E276" s="2" t="str">
        <f>_xlfn.XLOOKUP(Cat_SKU[[#This Row],[Item]],CAT_MOD_v31[NÚMERO DE ARTÍCULO (SAP)],CAT_MOD_v31[RESUMIDO],"",0)</f>
        <v>Pulsar 200 FI</v>
      </c>
      <c r="F276" s="2" t="str">
        <f>_xlfn.XLOOKUP(Cat_SKU[[#This Row],[Item]],CAT_MOD_v31[NÚMERO DE ARTÍCULO (SAP)],CAT_MOD_v31[COLOR],"",0)</f>
        <v>Perla</v>
      </c>
      <c r="G276" s="2">
        <f>_xlfn.XLOOKUP(Cat_SKU[[#This Row],[Item]],CAT_MOD_v31[NÚMERO DE ARTÍCULO (SAP)],CAT_MOD_v31[AÑO],"",0)</f>
        <v>2022</v>
      </c>
    </row>
    <row r="277" spans="1:7" x14ac:dyDescent="0.35">
      <c r="A277" t="s">
        <v>3</v>
      </c>
      <c r="B277" s="1">
        <v>547613</v>
      </c>
      <c r="C277" t="s">
        <v>58</v>
      </c>
      <c r="D277" t="s">
        <v>401</v>
      </c>
      <c r="E277" s="2" t="str">
        <f>_xlfn.XLOOKUP(Cat_SKU[[#This Row],[Item]],CAT_MOD_v31[NÚMERO DE ARTÍCULO (SAP)],CAT_MOD_v31[RESUMIDO],"",0)</f>
        <v>Pulsar 150</v>
      </c>
      <c r="F277" s="2" t="str">
        <f>_xlfn.XLOOKUP(Cat_SKU[[#This Row],[Item]],CAT_MOD_v31[NÚMERO DE ARTÍCULO (SAP)],CAT_MOD_v31[COLOR],"",0)</f>
        <v>Negro</v>
      </c>
      <c r="G277" s="2">
        <f>_xlfn.XLOOKUP(Cat_SKU[[#This Row],[Item]],CAT_MOD_v31[NÚMERO DE ARTÍCULO (SAP)],CAT_MOD_v31[AÑO],"",0)</f>
        <v>2022</v>
      </c>
    </row>
    <row r="278" spans="1:7" x14ac:dyDescent="0.35">
      <c r="A278" t="s">
        <v>3</v>
      </c>
      <c r="B278" s="1">
        <v>551343</v>
      </c>
      <c r="C278" t="s">
        <v>10</v>
      </c>
      <c r="D278" t="s">
        <v>385</v>
      </c>
      <c r="E278" s="2" t="str">
        <f>_xlfn.XLOOKUP(Cat_SKU[[#This Row],[Item]],CAT_MOD_v31[NÚMERO DE ARTÍCULO (SAP)],CAT_MOD_v31[RESUMIDO],"",0)</f>
        <v>Pulsar RS200</v>
      </c>
      <c r="F278" s="2" t="str">
        <f>_xlfn.XLOOKUP(Cat_SKU[[#This Row],[Item]],CAT_MOD_v31[NÚMERO DE ARTÍCULO (SAP)],CAT_MOD_v31[COLOR],"",0)</f>
        <v>Negro</v>
      </c>
      <c r="G278" s="2">
        <f>_xlfn.XLOOKUP(Cat_SKU[[#This Row],[Item]],CAT_MOD_v31[NÚMERO DE ARTÍCULO (SAP)],CAT_MOD_v31[AÑO],"",0)</f>
        <v>2022</v>
      </c>
    </row>
    <row r="279" spans="1:7" x14ac:dyDescent="0.35">
      <c r="A279" t="s">
        <v>3</v>
      </c>
      <c r="B279" s="1">
        <v>551343</v>
      </c>
      <c r="C279" t="s">
        <v>692</v>
      </c>
      <c r="D279" t="s">
        <v>324</v>
      </c>
      <c r="E279" s="2" t="str">
        <f>_xlfn.XLOOKUP(Cat_SKU[[#This Row],[Item]],CAT_MOD_v31[NÚMERO DE ARTÍCULO (SAP)],CAT_MOD_v31[RESUMIDO],"",0)</f>
        <v>Pulsar RS200</v>
      </c>
      <c r="F279" s="2" t="str">
        <f>_xlfn.XLOOKUP(Cat_SKU[[#This Row],[Item]],CAT_MOD_v31[NÚMERO DE ARTÍCULO (SAP)],CAT_MOD_v31[COLOR],"",0)</f>
        <v>Perla</v>
      </c>
      <c r="G279" s="2">
        <f>_xlfn.XLOOKUP(Cat_SKU[[#This Row],[Item]],CAT_MOD_v31[NÚMERO DE ARTÍCULO (SAP)],CAT_MOD_v31[AÑO],"",0)</f>
        <v>2022</v>
      </c>
    </row>
    <row r="280" spans="1:7" x14ac:dyDescent="0.35">
      <c r="A280" t="s">
        <v>3</v>
      </c>
      <c r="B280" s="1">
        <v>556744</v>
      </c>
      <c r="C280" t="s">
        <v>46</v>
      </c>
      <c r="D280" t="s">
        <v>317</v>
      </c>
      <c r="E280" s="2" t="str">
        <f>_xlfn.XLOOKUP(Cat_SKU[[#This Row],[Item]],CAT_MOD_v31[NÚMERO DE ARTÍCULO (SAP)],CAT_MOD_v31[RESUMIDO],"",0)</f>
        <v>Pulsar NS200</v>
      </c>
      <c r="F280" s="2" t="str">
        <f>_xlfn.XLOOKUP(Cat_SKU[[#This Row],[Item]],CAT_MOD_v31[NÚMERO DE ARTÍCULO (SAP)],CAT_MOD_v31[COLOR],"",0)</f>
        <v>Gris</v>
      </c>
      <c r="G280" s="2">
        <f>_xlfn.XLOOKUP(Cat_SKU[[#This Row],[Item]],CAT_MOD_v31[NÚMERO DE ARTÍCULO (SAP)],CAT_MOD_v31[AÑO],"",0)</f>
        <v>2023</v>
      </c>
    </row>
    <row r="281" spans="1:7" x14ac:dyDescent="0.35">
      <c r="A281" t="s">
        <v>3</v>
      </c>
      <c r="B281" s="1">
        <v>556744</v>
      </c>
      <c r="C281" t="s">
        <v>690</v>
      </c>
      <c r="D281" t="s">
        <v>365</v>
      </c>
      <c r="E281" s="2" t="str">
        <f>_xlfn.XLOOKUP(Cat_SKU[[#This Row],[Item]],CAT_MOD_v31[NÚMERO DE ARTÍCULO (SAP)],CAT_MOD_v31[RESUMIDO],"",0)</f>
        <v>Pulsar NS200</v>
      </c>
      <c r="F281" s="2" t="str">
        <f>_xlfn.XLOOKUP(Cat_SKU[[#This Row],[Item]],CAT_MOD_v31[NÚMERO DE ARTÍCULO (SAP)],CAT_MOD_v31[COLOR],"",0)</f>
        <v>Negro</v>
      </c>
      <c r="G281" s="2">
        <f>_xlfn.XLOOKUP(Cat_SKU[[#This Row],[Item]],CAT_MOD_v31[NÚMERO DE ARTÍCULO (SAP)],CAT_MOD_v31[AÑO],"",0)</f>
        <v>2023</v>
      </c>
    </row>
    <row r="282" spans="1:7" x14ac:dyDescent="0.35">
      <c r="A282" t="s">
        <v>3</v>
      </c>
      <c r="B282" s="1">
        <v>557546</v>
      </c>
      <c r="C282" t="s">
        <v>51</v>
      </c>
      <c r="D282" t="s">
        <v>338</v>
      </c>
      <c r="E282" s="2" t="str">
        <f>_xlfn.XLOOKUP(Cat_SKU[[#This Row],[Item]],CAT_MOD_v31[NÚMERO DE ARTÍCULO (SAP)],CAT_MOD_v31[RESUMIDO],"",0)</f>
        <v>Pulsar LS125</v>
      </c>
      <c r="F282" s="2" t="str">
        <f>_xlfn.XLOOKUP(Cat_SKU[[#This Row],[Item]],CAT_MOD_v31[NÚMERO DE ARTÍCULO (SAP)],CAT_MOD_v31[COLOR],"",0)</f>
        <v>Amarillo</v>
      </c>
      <c r="G282" s="2">
        <f>_xlfn.XLOOKUP(Cat_SKU[[#This Row],[Item]],CAT_MOD_v31[NÚMERO DE ARTÍCULO (SAP)],CAT_MOD_v31[AÑO],"",0)</f>
        <v>2023</v>
      </c>
    </row>
    <row r="283" spans="1:7" x14ac:dyDescent="0.35">
      <c r="A283" t="s">
        <v>3</v>
      </c>
      <c r="B283" s="1">
        <v>557589</v>
      </c>
      <c r="C283" t="s">
        <v>87</v>
      </c>
      <c r="D283" t="s">
        <v>334</v>
      </c>
      <c r="E283" s="2" t="str">
        <f>_xlfn.XLOOKUP(Cat_SKU[[#This Row],[Item]],CAT_MOD_v31[NÚMERO DE ARTÍCULO (SAP)],CAT_MOD_v31[RESUMIDO],"",0)</f>
        <v>Pulsar NS160</v>
      </c>
      <c r="F283" s="2" t="str">
        <f>_xlfn.XLOOKUP(Cat_SKU[[#This Row],[Item]],CAT_MOD_v31[NÚMERO DE ARTÍCULO (SAP)],CAT_MOD_v31[COLOR],"",0)</f>
        <v>Perla</v>
      </c>
      <c r="G283" s="2">
        <f>_xlfn.XLOOKUP(Cat_SKU[[#This Row],[Item]],CAT_MOD_v31[NÚMERO DE ARTÍCULO (SAP)],CAT_MOD_v31[AÑO],"",0)</f>
        <v>2023</v>
      </c>
    </row>
    <row r="284" spans="1:7" x14ac:dyDescent="0.35">
      <c r="A284" t="s">
        <v>3</v>
      </c>
      <c r="B284" s="1">
        <v>557963</v>
      </c>
      <c r="C284" t="s">
        <v>99</v>
      </c>
      <c r="D284" t="s">
        <v>368</v>
      </c>
      <c r="E284" s="2" t="str">
        <f>_xlfn.XLOOKUP(Cat_SKU[[#This Row],[Item]],CAT_MOD_v31[NÚMERO DE ARTÍCULO (SAP)],CAT_MOD_v31[RESUMIDO],"",0)</f>
        <v>Avenger Cruise 220</v>
      </c>
      <c r="F284" s="2" t="str">
        <f>_xlfn.XLOOKUP(Cat_SKU[[#This Row],[Item]],CAT_MOD_v31[NÚMERO DE ARTÍCULO (SAP)],CAT_MOD_v31[COLOR],"",0)</f>
        <v>Negro</v>
      </c>
      <c r="G284" s="2">
        <f>_xlfn.XLOOKUP(Cat_SKU[[#This Row],[Item]],CAT_MOD_v31[NÚMERO DE ARTÍCULO (SAP)],CAT_MOD_v31[AÑO],"",0)</f>
        <v>2023</v>
      </c>
    </row>
    <row r="285" spans="1:7" x14ac:dyDescent="0.35">
      <c r="A285" t="s">
        <v>3</v>
      </c>
      <c r="B285" s="1">
        <v>559672</v>
      </c>
      <c r="C285" t="s">
        <v>92</v>
      </c>
      <c r="D285" t="s">
        <v>416</v>
      </c>
      <c r="E285" s="2" t="str">
        <f>_xlfn.XLOOKUP(Cat_SKU[[#This Row],[Item]],CAT_MOD_v31[NÚMERO DE ARTÍCULO (SAP)],CAT_MOD_v31[RESUMIDO],"",0)</f>
        <v>Dominar 400</v>
      </c>
      <c r="F285" s="2" t="str">
        <f>_xlfn.XLOOKUP(Cat_SKU[[#This Row],[Item]],CAT_MOD_v31[NÚMERO DE ARTÍCULO (SAP)],CAT_MOD_v31[COLOR],"",0)</f>
        <v>Negro</v>
      </c>
      <c r="G285" s="2">
        <f>_xlfn.XLOOKUP(Cat_SKU[[#This Row],[Item]],CAT_MOD_v31[NÚMERO DE ARTÍCULO (SAP)],CAT_MOD_v31[AÑO],"",0)</f>
        <v>2022</v>
      </c>
    </row>
    <row r="286" spans="1:7" x14ac:dyDescent="0.35">
      <c r="A286" t="s">
        <v>3</v>
      </c>
      <c r="B286" s="1">
        <v>559867</v>
      </c>
      <c r="C286" t="s">
        <v>55</v>
      </c>
      <c r="D286" t="s">
        <v>316</v>
      </c>
      <c r="E286" s="2" t="str">
        <f>_xlfn.XLOOKUP(Cat_SKU[[#This Row],[Item]],CAT_MOD_v31[NÚMERO DE ARTÍCULO (SAP)],CAT_MOD_v31[RESUMIDO],"",0)</f>
        <v>Pulsar LS125</v>
      </c>
      <c r="F286" s="2" t="str">
        <f>_xlfn.XLOOKUP(Cat_SKU[[#This Row],[Item]],CAT_MOD_v31[NÚMERO DE ARTÍCULO (SAP)],CAT_MOD_v31[COLOR],"",0)</f>
        <v>Negro</v>
      </c>
      <c r="G286" s="2">
        <f>_xlfn.XLOOKUP(Cat_SKU[[#This Row],[Item]],CAT_MOD_v31[NÚMERO DE ARTÍCULO (SAP)],CAT_MOD_v31[AÑO],"",0)</f>
        <v>2023</v>
      </c>
    </row>
    <row r="287" spans="1:7" x14ac:dyDescent="0.35">
      <c r="A287" t="s">
        <v>3</v>
      </c>
      <c r="B287" s="1">
        <v>560334</v>
      </c>
      <c r="C287" t="s">
        <v>83</v>
      </c>
      <c r="D287" t="s">
        <v>333</v>
      </c>
      <c r="E287" s="2" t="str">
        <f>_xlfn.XLOOKUP(Cat_SKU[[#This Row],[Item]],CAT_MOD_v31[NÚMERO DE ARTÍCULO (SAP)],CAT_MOD_v31[RESUMIDO],"",0)</f>
        <v>Pulsar NS160</v>
      </c>
      <c r="F287" s="2" t="str">
        <f>_xlfn.XLOOKUP(Cat_SKU[[#This Row],[Item]],CAT_MOD_v31[NÚMERO DE ARTÍCULO (SAP)],CAT_MOD_v31[COLOR],"",0)</f>
        <v>Azul</v>
      </c>
      <c r="G287" s="2">
        <f>_xlfn.XLOOKUP(Cat_SKU[[#This Row],[Item]],CAT_MOD_v31[NÚMERO DE ARTÍCULO (SAP)],CAT_MOD_v31[AÑO],"",0)</f>
        <v>2023</v>
      </c>
    </row>
    <row r="288" spans="1:7" x14ac:dyDescent="0.35">
      <c r="A288" t="s">
        <v>3</v>
      </c>
      <c r="B288" s="1">
        <v>560423</v>
      </c>
      <c r="C288" t="s">
        <v>7</v>
      </c>
      <c r="D288" t="s">
        <v>341</v>
      </c>
      <c r="E288" s="2" t="str">
        <f>_xlfn.XLOOKUP(Cat_SKU[[#This Row],[Item]],CAT_MOD_v31[NÚMERO DE ARTÍCULO (SAP)],CAT_MOD_v31[RESUMIDO],"",0)</f>
        <v>Pulsar RS200</v>
      </c>
      <c r="F288" s="2" t="str">
        <f>_xlfn.XLOOKUP(Cat_SKU[[#This Row],[Item]],CAT_MOD_v31[NÚMERO DE ARTÍCULO (SAP)],CAT_MOD_v31[COLOR],"",0)</f>
        <v>Gris</v>
      </c>
      <c r="G288" s="2">
        <f>_xlfn.XLOOKUP(Cat_SKU[[#This Row],[Item]],CAT_MOD_v31[NÚMERO DE ARTÍCULO (SAP)],CAT_MOD_v31[AÑO],"",0)</f>
        <v>2023</v>
      </c>
    </row>
    <row r="289" spans="1:7" x14ac:dyDescent="0.35">
      <c r="A289" t="s">
        <v>3</v>
      </c>
      <c r="B289" s="1">
        <v>560423</v>
      </c>
      <c r="C289" t="s">
        <v>691</v>
      </c>
      <c r="D289" t="s">
        <v>372</v>
      </c>
      <c r="E289" s="2" t="str">
        <f>_xlfn.XLOOKUP(Cat_SKU[[#This Row],[Item]],CAT_MOD_v31[NÚMERO DE ARTÍCULO (SAP)],CAT_MOD_v31[RESUMIDO],"",0)</f>
        <v>Pulsar RS200</v>
      </c>
      <c r="F289" s="2" t="str">
        <f>_xlfn.XLOOKUP(Cat_SKU[[#This Row],[Item]],CAT_MOD_v31[NÚMERO DE ARTÍCULO (SAP)],CAT_MOD_v31[COLOR],"",0)</f>
        <v>Negro</v>
      </c>
      <c r="G289" s="2">
        <f>_xlfn.XLOOKUP(Cat_SKU[[#This Row],[Item]],CAT_MOD_v31[NÚMERO DE ARTÍCULO (SAP)],CAT_MOD_v31[AÑO],"",0)</f>
        <v>2023</v>
      </c>
    </row>
    <row r="290" spans="1:7" x14ac:dyDescent="0.35">
      <c r="A290" t="s">
        <v>3</v>
      </c>
      <c r="B290" s="1">
        <v>560458</v>
      </c>
      <c r="C290" t="s">
        <v>12</v>
      </c>
      <c r="D290" t="s">
        <v>340</v>
      </c>
      <c r="E290" s="2" t="str">
        <f>_xlfn.XLOOKUP(Cat_SKU[[#This Row],[Item]],CAT_MOD_v31[NÚMERO DE ARTÍCULO (SAP)],CAT_MOD_v31[RESUMIDO],"",0)</f>
        <v>Pulsar RS200</v>
      </c>
      <c r="F290" s="2" t="str">
        <f>_xlfn.XLOOKUP(Cat_SKU[[#This Row],[Item]],CAT_MOD_v31[NÚMERO DE ARTÍCULO (SAP)],CAT_MOD_v31[COLOR],"",0)</f>
        <v>Perla</v>
      </c>
      <c r="G290" s="2">
        <f>_xlfn.XLOOKUP(Cat_SKU[[#This Row],[Item]],CAT_MOD_v31[NÚMERO DE ARTÍCULO (SAP)],CAT_MOD_v31[AÑO],"",0)</f>
        <v>2023</v>
      </c>
    </row>
    <row r="291" spans="1:7" x14ac:dyDescent="0.35">
      <c r="A291" t="s">
        <v>3</v>
      </c>
      <c r="B291" s="1">
        <v>562388</v>
      </c>
      <c r="C291" t="s">
        <v>42</v>
      </c>
      <c r="D291" t="s">
        <v>339</v>
      </c>
      <c r="E291" s="2" t="str">
        <f>_xlfn.XLOOKUP(Cat_SKU[[#This Row],[Item]],CAT_MOD_v31[NÚMERO DE ARTÍCULO (SAP)],CAT_MOD_v31[RESUMIDO],"",0)</f>
        <v>Pulsar 200 FI</v>
      </c>
      <c r="F291" s="2" t="str">
        <f>_xlfn.XLOOKUP(Cat_SKU[[#This Row],[Item]],CAT_MOD_v31[NÚMERO DE ARTÍCULO (SAP)],CAT_MOD_v31[COLOR],"",0)</f>
        <v>Rojo</v>
      </c>
      <c r="G291" s="2">
        <f>_xlfn.XLOOKUP(Cat_SKU[[#This Row],[Item]],CAT_MOD_v31[NÚMERO DE ARTÍCULO (SAP)],CAT_MOD_v31[AÑO],"",0)</f>
        <v>2023</v>
      </c>
    </row>
    <row r="292" spans="1:7" x14ac:dyDescent="0.35">
      <c r="A292" t="s">
        <v>3</v>
      </c>
      <c r="B292" s="1">
        <v>562613</v>
      </c>
      <c r="C292" t="s">
        <v>95</v>
      </c>
      <c r="D292" t="s">
        <v>328</v>
      </c>
      <c r="E292" s="2" t="str">
        <f>_xlfn.XLOOKUP(Cat_SKU[[#This Row],[Item]],CAT_MOD_v31[NÚMERO DE ARTÍCULO (SAP)],CAT_MOD_v31[RESUMIDO],"",0)</f>
        <v>Boxer BM150</v>
      </c>
      <c r="F292" s="2" t="str">
        <f>_xlfn.XLOOKUP(Cat_SKU[[#This Row],[Item]],CAT_MOD_v31[NÚMERO DE ARTÍCULO (SAP)],CAT_MOD_v31[COLOR],"",0)</f>
        <v>Blanco</v>
      </c>
      <c r="G292" s="2">
        <f>_xlfn.XLOOKUP(Cat_SKU[[#This Row],[Item]],CAT_MOD_v31[NÚMERO DE ARTÍCULO (SAP)],CAT_MOD_v31[AÑO],"",0)</f>
        <v>2023</v>
      </c>
    </row>
    <row r="293" spans="1:7" x14ac:dyDescent="0.35">
      <c r="A293" t="s">
        <v>3</v>
      </c>
      <c r="B293" s="1">
        <v>562932</v>
      </c>
      <c r="C293" t="s">
        <v>65</v>
      </c>
      <c r="D293" t="s">
        <v>337</v>
      </c>
      <c r="E293" s="2" t="str">
        <f>_xlfn.XLOOKUP(Cat_SKU[[#This Row],[Item]],CAT_MOD_v31[NÚMERO DE ARTÍCULO (SAP)],CAT_MOD_v31[RESUMIDO],"",0)</f>
        <v>Pulsar N250 FI ABS</v>
      </c>
      <c r="F293" s="2" t="str">
        <f>_xlfn.XLOOKUP(Cat_SKU[[#This Row],[Item]],CAT_MOD_v31[NÚMERO DE ARTÍCULO (SAP)],CAT_MOD_v31[COLOR],"",0)</f>
        <v>Negro</v>
      </c>
      <c r="G293" s="2">
        <f>_xlfn.XLOOKUP(Cat_SKU[[#This Row],[Item]],CAT_MOD_v31[NÚMERO DE ARTÍCULO (SAP)],CAT_MOD_v31[AÑO],"",0)</f>
        <v>2023</v>
      </c>
    </row>
    <row r="294" spans="1:7" x14ac:dyDescent="0.35">
      <c r="A294" t="s">
        <v>3</v>
      </c>
      <c r="B294" s="1">
        <v>570178</v>
      </c>
      <c r="C294" t="s">
        <v>695</v>
      </c>
      <c r="D294" t="s">
        <v>720</v>
      </c>
      <c r="E294" s="2" t="str">
        <f>_xlfn.XLOOKUP(Cat_SKU[[#This Row],[Item]],CAT_MOD_v31[NÚMERO DE ARTÍCULO (SAP)],CAT_MOD_v31[RESUMIDO],"",0)</f>
        <v>KIT ARRASTRE COPPEL</v>
      </c>
      <c r="F294" s="2" t="str">
        <f>_xlfn.XLOOKUP(Cat_SKU[[#This Row],[Item]],CAT_MOD_v31[NÚMERO DE ARTÍCULO (SAP)],CAT_MOD_v31[COLOR],"",0)</f>
        <v>Na</v>
      </c>
      <c r="G294" s="2">
        <f>_xlfn.XLOOKUP(Cat_SKU[[#This Row],[Item]],CAT_MOD_v31[NÚMERO DE ARTÍCULO (SAP)],CAT_MOD_v31[AÑO],"",0)</f>
        <v>0</v>
      </c>
    </row>
    <row r="295" spans="1:7" x14ac:dyDescent="0.35">
      <c r="A295" t="s">
        <v>3</v>
      </c>
      <c r="B295" s="1">
        <v>570186</v>
      </c>
      <c r="C295" t="s">
        <v>696</v>
      </c>
      <c r="D295" t="s">
        <v>721</v>
      </c>
      <c r="E295" s="2" t="str">
        <f>_xlfn.XLOOKUP(Cat_SKU[[#This Row],[Item]],CAT_MOD_v31[NÚMERO DE ARTÍCULO (SAP)],CAT_MOD_v31[RESUMIDO],"",0)</f>
        <v/>
      </c>
      <c r="F295" s="2" t="str">
        <f>_xlfn.XLOOKUP(Cat_SKU[[#This Row],[Item]],CAT_MOD_v31[NÚMERO DE ARTÍCULO (SAP)],CAT_MOD_v31[COLOR],"",0)</f>
        <v/>
      </c>
      <c r="G295" s="2" t="str">
        <f>_xlfn.XLOOKUP(Cat_SKU[[#This Row],[Item]],CAT_MOD_v31[NÚMERO DE ARTÍCULO (SAP)],CAT_MOD_v31[AÑO],"",0)</f>
        <v/>
      </c>
    </row>
    <row r="296" spans="1:7" x14ac:dyDescent="0.35">
      <c r="A296" t="s">
        <v>3</v>
      </c>
      <c r="B296" s="1">
        <v>570194</v>
      </c>
      <c r="C296" t="s">
        <v>697</v>
      </c>
      <c r="D296" t="s">
        <v>722</v>
      </c>
      <c r="E296" s="2" t="str">
        <f>_xlfn.XLOOKUP(Cat_SKU[[#This Row],[Item]],CAT_MOD_v31[NÚMERO DE ARTÍCULO (SAP)],CAT_MOD_v31[RESUMIDO],"",0)</f>
        <v/>
      </c>
      <c r="F296" s="2" t="str">
        <f>_xlfn.XLOOKUP(Cat_SKU[[#This Row],[Item]],CAT_MOD_v31[NÚMERO DE ARTÍCULO (SAP)],CAT_MOD_v31[COLOR],"",0)</f>
        <v/>
      </c>
      <c r="G296" s="2" t="str">
        <f>_xlfn.XLOOKUP(Cat_SKU[[#This Row],[Item]],CAT_MOD_v31[NÚMERO DE ARTÍCULO (SAP)],CAT_MOD_v31[AÑO],"",0)</f>
        <v/>
      </c>
    </row>
    <row r="297" spans="1:7" x14ac:dyDescent="0.35">
      <c r="A297" t="s">
        <v>3</v>
      </c>
      <c r="B297" s="1">
        <v>570208</v>
      </c>
      <c r="C297" t="s">
        <v>698</v>
      </c>
      <c r="D297" t="s">
        <v>723</v>
      </c>
      <c r="E297" s="2" t="str">
        <f>_xlfn.XLOOKUP(Cat_SKU[[#This Row],[Item]],CAT_MOD_v31[NÚMERO DE ARTÍCULO (SAP)],CAT_MOD_v31[RESUMIDO],"",0)</f>
        <v/>
      </c>
      <c r="F297" s="2" t="str">
        <f>_xlfn.XLOOKUP(Cat_SKU[[#This Row],[Item]],CAT_MOD_v31[NÚMERO DE ARTÍCULO (SAP)],CAT_MOD_v31[COLOR],"",0)</f>
        <v/>
      </c>
      <c r="G297" s="2" t="str">
        <f>_xlfn.XLOOKUP(Cat_SKU[[#This Row],[Item]],CAT_MOD_v31[NÚMERO DE ARTÍCULO (SAP)],CAT_MOD_v31[AÑO],"",0)</f>
        <v/>
      </c>
    </row>
    <row r="298" spans="1:7" x14ac:dyDescent="0.35">
      <c r="A298" t="s">
        <v>3</v>
      </c>
      <c r="B298" s="1">
        <v>570216</v>
      </c>
      <c r="C298" t="s">
        <v>699</v>
      </c>
      <c r="D298" t="s">
        <v>724</v>
      </c>
      <c r="E298" s="2" t="str">
        <f>_xlfn.XLOOKUP(Cat_SKU[[#This Row],[Item]],CAT_MOD_v31[NÚMERO DE ARTÍCULO (SAP)],CAT_MOD_v31[RESUMIDO],"",0)</f>
        <v/>
      </c>
      <c r="F298" s="2" t="str">
        <f>_xlfn.XLOOKUP(Cat_SKU[[#This Row],[Item]],CAT_MOD_v31[NÚMERO DE ARTÍCULO (SAP)],CAT_MOD_v31[COLOR],"",0)</f>
        <v/>
      </c>
      <c r="G298" s="2" t="str">
        <f>_xlfn.XLOOKUP(Cat_SKU[[#This Row],[Item]],CAT_MOD_v31[NÚMERO DE ARTÍCULO (SAP)],CAT_MOD_v31[AÑO],"",0)</f>
        <v/>
      </c>
    </row>
    <row r="299" spans="1:7" x14ac:dyDescent="0.35">
      <c r="A299" t="s">
        <v>3</v>
      </c>
      <c r="B299" s="1">
        <v>570224</v>
      </c>
      <c r="C299" t="s">
        <v>700</v>
      </c>
      <c r="D299" t="s">
        <v>725</v>
      </c>
      <c r="E299" s="2" t="str">
        <f>_xlfn.XLOOKUP(Cat_SKU[[#This Row],[Item]],CAT_MOD_v31[NÚMERO DE ARTÍCULO (SAP)],CAT_MOD_v31[RESUMIDO],"",0)</f>
        <v/>
      </c>
      <c r="F299" s="2" t="str">
        <f>_xlfn.XLOOKUP(Cat_SKU[[#This Row],[Item]],CAT_MOD_v31[NÚMERO DE ARTÍCULO (SAP)],CAT_MOD_v31[COLOR],"",0)</f>
        <v/>
      </c>
      <c r="G299" s="2" t="str">
        <f>_xlfn.XLOOKUP(Cat_SKU[[#This Row],[Item]],CAT_MOD_v31[NÚMERO DE ARTÍCULO (SAP)],CAT_MOD_v31[AÑO],"",0)</f>
        <v/>
      </c>
    </row>
    <row r="300" spans="1:7" x14ac:dyDescent="0.35">
      <c r="A300" t="s">
        <v>3</v>
      </c>
      <c r="B300" s="1">
        <v>570233</v>
      </c>
      <c r="C300" t="s">
        <v>701</v>
      </c>
      <c r="D300" t="s">
        <v>726</v>
      </c>
      <c r="E300" s="2" t="str">
        <f>_xlfn.XLOOKUP(Cat_SKU[[#This Row],[Item]],CAT_MOD_v31[NÚMERO DE ARTÍCULO (SAP)],CAT_MOD_v31[RESUMIDO],"",0)</f>
        <v/>
      </c>
      <c r="F300" s="2" t="str">
        <f>_xlfn.XLOOKUP(Cat_SKU[[#This Row],[Item]],CAT_MOD_v31[NÚMERO DE ARTÍCULO (SAP)],CAT_MOD_v31[COLOR],"",0)</f>
        <v/>
      </c>
      <c r="G300" s="2" t="str">
        <f>_xlfn.XLOOKUP(Cat_SKU[[#This Row],[Item]],CAT_MOD_v31[NÚMERO DE ARTÍCULO (SAP)],CAT_MOD_v31[AÑO],"",0)</f>
        <v/>
      </c>
    </row>
    <row r="301" spans="1:7" x14ac:dyDescent="0.35">
      <c r="A301" t="s">
        <v>3</v>
      </c>
      <c r="B301" s="1">
        <v>570242</v>
      </c>
      <c r="C301" t="s">
        <v>702</v>
      </c>
      <c r="D301" t="s">
        <v>727</v>
      </c>
      <c r="E301" s="2" t="str">
        <f>_xlfn.XLOOKUP(Cat_SKU[[#This Row],[Item]],CAT_MOD_v31[NÚMERO DE ARTÍCULO (SAP)],CAT_MOD_v31[RESUMIDO],"",0)</f>
        <v/>
      </c>
      <c r="F301" s="2" t="str">
        <f>_xlfn.XLOOKUP(Cat_SKU[[#This Row],[Item]],CAT_MOD_v31[NÚMERO DE ARTÍCULO (SAP)],CAT_MOD_v31[COLOR],"",0)</f>
        <v/>
      </c>
      <c r="G301" s="2" t="str">
        <f>_xlfn.XLOOKUP(Cat_SKU[[#This Row],[Item]],CAT_MOD_v31[NÚMERO DE ARTÍCULO (SAP)],CAT_MOD_v31[AÑO],"",0)</f>
        <v/>
      </c>
    </row>
    <row r="302" spans="1:7" x14ac:dyDescent="0.35">
      <c r="A302" t="s">
        <v>3</v>
      </c>
      <c r="B302" s="1">
        <v>571328</v>
      </c>
      <c r="C302" t="s">
        <v>703</v>
      </c>
      <c r="D302" t="s">
        <v>728</v>
      </c>
      <c r="E302" s="2" t="str">
        <f>_xlfn.XLOOKUP(Cat_SKU[[#This Row],[Item]],CAT_MOD_v31[NÚMERO DE ARTÍCULO (SAP)],CAT_MOD_v31[RESUMIDO],"",0)</f>
        <v/>
      </c>
      <c r="F302" s="2" t="str">
        <f>_xlfn.XLOOKUP(Cat_SKU[[#This Row],[Item]],CAT_MOD_v31[NÚMERO DE ARTÍCULO (SAP)],CAT_MOD_v31[COLOR],"",0)</f>
        <v/>
      </c>
      <c r="G302" s="2" t="str">
        <f>_xlfn.XLOOKUP(Cat_SKU[[#This Row],[Item]],CAT_MOD_v31[NÚMERO DE ARTÍCULO (SAP)],CAT_MOD_v31[AÑO],"",0)</f>
        <v/>
      </c>
    </row>
    <row r="303" spans="1:7" x14ac:dyDescent="0.35">
      <c r="A303" t="s">
        <v>3</v>
      </c>
      <c r="B303" s="1">
        <v>571395</v>
      </c>
      <c r="C303" t="s">
        <v>704</v>
      </c>
      <c r="D303" t="s">
        <v>729</v>
      </c>
      <c r="E303" s="2" t="str">
        <f>_xlfn.XLOOKUP(Cat_SKU[[#This Row],[Item]],CAT_MOD_v31[NÚMERO DE ARTÍCULO (SAP)],CAT_MOD_v31[RESUMIDO],"",0)</f>
        <v/>
      </c>
      <c r="F303" s="2" t="str">
        <f>_xlfn.XLOOKUP(Cat_SKU[[#This Row],[Item]],CAT_MOD_v31[NÚMERO DE ARTÍCULO (SAP)],CAT_MOD_v31[COLOR],"",0)</f>
        <v/>
      </c>
      <c r="G303" s="2" t="str">
        <f>_xlfn.XLOOKUP(Cat_SKU[[#This Row],[Item]],CAT_MOD_v31[NÚMERO DE ARTÍCULO (SAP)],CAT_MOD_v31[AÑO],"",0)</f>
        <v/>
      </c>
    </row>
    <row r="304" spans="1:7" x14ac:dyDescent="0.35">
      <c r="A304" t="s">
        <v>3</v>
      </c>
      <c r="B304" s="1">
        <v>571468</v>
      </c>
      <c r="C304" t="s">
        <v>705</v>
      </c>
      <c r="D304" t="s">
        <v>730</v>
      </c>
      <c r="E304" s="2" t="str">
        <f>_xlfn.XLOOKUP(Cat_SKU[[#This Row],[Item]],CAT_MOD_v31[NÚMERO DE ARTÍCULO (SAP)],CAT_MOD_v31[RESUMIDO],"",0)</f>
        <v/>
      </c>
      <c r="F304" s="2" t="str">
        <f>_xlfn.XLOOKUP(Cat_SKU[[#This Row],[Item]],CAT_MOD_v31[NÚMERO DE ARTÍCULO (SAP)],CAT_MOD_v31[COLOR],"",0)</f>
        <v/>
      </c>
      <c r="G304" s="2" t="str">
        <f>_xlfn.XLOOKUP(Cat_SKU[[#This Row],[Item]],CAT_MOD_v31[NÚMERO DE ARTÍCULO (SAP)],CAT_MOD_v31[AÑO],"",0)</f>
        <v/>
      </c>
    </row>
    <row r="305" spans="1:7" x14ac:dyDescent="0.35">
      <c r="A305" t="s">
        <v>3</v>
      </c>
      <c r="B305" s="1">
        <v>571549</v>
      </c>
      <c r="C305" t="s">
        <v>706</v>
      </c>
      <c r="D305" t="s">
        <v>731</v>
      </c>
      <c r="E305" s="2" t="str">
        <f>_xlfn.XLOOKUP(Cat_SKU[[#This Row],[Item]],CAT_MOD_v31[NÚMERO DE ARTÍCULO (SAP)],CAT_MOD_v31[RESUMIDO],"",0)</f>
        <v/>
      </c>
      <c r="F305" s="2" t="str">
        <f>_xlfn.XLOOKUP(Cat_SKU[[#This Row],[Item]],CAT_MOD_v31[NÚMERO DE ARTÍCULO (SAP)],CAT_MOD_v31[COLOR],"",0)</f>
        <v/>
      </c>
      <c r="G305" s="2" t="str">
        <f>_xlfn.XLOOKUP(Cat_SKU[[#This Row],[Item]],CAT_MOD_v31[NÚMERO DE ARTÍCULO (SAP)],CAT_MOD_v31[AÑO],"",0)</f>
        <v/>
      </c>
    </row>
    <row r="306" spans="1:7" x14ac:dyDescent="0.35">
      <c r="A306" t="s">
        <v>3</v>
      </c>
      <c r="B306" s="1">
        <v>571557</v>
      </c>
      <c r="C306" t="s">
        <v>707</v>
      </c>
      <c r="D306" t="s">
        <v>732</v>
      </c>
      <c r="E306" s="2" t="str">
        <f>_xlfn.XLOOKUP(Cat_SKU[[#This Row],[Item]],CAT_MOD_v31[NÚMERO DE ARTÍCULO (SAP)],CAT_MOD_v31[RESUMIDO],"",0)</f>
        <v/>
      </c>
      <c r="F306" s="2" t="str">
        <f>_xlfn.XLOOKUP(Cat_SKU[[#This Row],[Item]],CAT_MOD_v31[NÚMERO DE ARTÍCULO (SAP)],CAT_MOD_v31[COLOR],"",0)</f>
        <v/>
      </c>
      <c r="G306" s="2" t="str">
        <f>_xlfn.XLOOKUP(Cat_SKU[[#This Row],[Item]],CAT_MOD_v31[NÚMERO DE ARTÍCULO (SAP)],CAT_MOD_v31[AÑO],"",0)</f>
        <v/>
      </c>
    </row>
    <row r="307" spans="1:7" x14ac:dyDescent="0.35">
      <c r="A307" t="s">
        <v>3</v>
      </c>
      <c r="B307" s="1">
        <v>571565</v>
      </c>
      <c r="C307" t="s">
        <v>708</v>
      </c>
      <c r="D307" t="s">
        <v>733</v>
      </c>
      <c r="E307" s="2" t="str">
        <f>_xlfn.XLOOKUP(Cat_SKU[[#This Row],[Item]],CAT_MOD_v31[NÚMERO DE ARTÍCULO (SAP)],CAT_MOD_v31[RESUMIDO],"",0)</f>
        <v/>
      </c>
      <c r="F307" s="2" t="str">
        <f>_xlfn.XLOOKUP(Cat_SKU[[#This Row],[Item]],CAT_MOD_v31[NÚMERO DE ARTÍCULO (SAP)],CAT_MOD_v31[COLOR],"",0)</f>
        <v/>
      </c>
      <c r="G307" s="2" t="str">
        <f>_xlfn.XLOOKUP(Cat_SKU[[#This Row],[Item]],CAT_MOD_v31[NÚMERO DE ARTÍCULO (SAP)],CAT_MOD_v31[AÑO],"",0)</f>
        <v/>
      </c>
    </row>
    <row r="308" spans="1:7" x14ac:dyDescent="0.35">
      <c r="A308" t="s">
        <v>3</v>
      </c>
      <c r="B308" s="1">
        <v>571573</v>
      </c>
      <c r="C308" t="s">
        <v>709</v>
      </c>
      <c r="D308" t="s">
        <v>734</v>
      </c>
      <c r="E308" s="2" t="str">
        <f>_xlfn.XLOOKUP(Cat_SKU[[#This Row],[Item]],CAT_MOD_v31[NÚMERO DE ARTÍCULO (SAP)],CAT_MOD_v31[RESUMIDO],"",0)</f>
        <v/>
      </c>
      <c r="F308" s="2" t="str">
        <f>_xlfn.XLOOKUP(Cat_SKU[[#This Row],[Item]],CAT_MOD_v31[NÚMERO DE ARTÍCULO (SAP)],CAT_MOD_v31[COLOR],"",0)</f>
        <v/>
      </c>
      <c r="G308" s="2" t="str">
        <f>_xlfn.XLOOKUP(Cat_SKU[[#This Row],[Item]],CAT_MOD_v31[NÚMERO DE ARTÍCULO (SAP)],CAT_MOD_v31[AÑO],"",0)</f>
        <v/>
      </c>
    </row>
    <row r="309" spans="1:7" x14ac:dyDescent="0.35">
      <c r="A309" t="s">
        <v>3</v>
      </c>
      <c r="B309" s="1">
        <v>571583</v>
      </c>
      <c r="C309" t="s">
        <v>710</v>
      </c>
      <c r="D309" t="s">
        <v>735</v>
      </c>
      <c r="E309" s="2" t="str">
        <f>_xlfn.XLOOKUP(Cat_SKU[[#This Row],[Item]],CAT_MOD_v31[NÚMERO DE ARTÍCULO (SAP)],CAT_MOD_v31[RESUMIDO],"",0)</f>
        <v/>
      </c>
      <c r="F309" s="2" t="str">
        <f>_xlfn.XLOOKUP(Cat_SKU[[#This Row],[Item]],CAT_MOD_v31[NÚMERO DE ARTÍCULO (SAP)],CAT_MOD_v31[COLOR],"",0)</f>
        <v/>
      </c>
      <c r="G309" s="2" t="str">
        <f>_xlfn.XLOOKUP(Cat_SKU[[#This Row],[Item]],CAT_MOD_v31[NÚMERO DE ARTÍCULO (SAP)],CAT_MOD_v31[AÑO],"",0)</f>
        <v/>
      </c>
    </row>
    <row r="310" spans="1:7" x14ac:dyDescent="0.35">
      <c r="A310" t="s">
        <v>3</v>
      </c>
      <c r="B310" s="1">
        <v>571591</v>
      </c>
      <c r="C310" t="s">
        <v>711</v>
      </c>
      <c r="D310" t="s">
        <v>736</v>
      </c>
      <c r="E310" s="2" t="str">
        <f>_xlfn.XLOOKUP(Cat_SKU[[#This Row],[Item]],CAT_MOD_v31[NÚMERO DE ARTÍCULO (SAP)],CAT_MOD_v31[RESUMIDO],"",0)</f>
        <v/>
      </c>
      <c r="F310" s="2" t="str">
        <f>_xlfn.XLOOKUP(Cat_SKU[[#This Row],[Item]],CAT_MOD_v31[NÚMERO DE ARTÍCULO (SAP)],CAT_MOD_v31[COLOR],"",0)</f>
        <v/>
      </c>
      <c r="G310" s="2" t="str">
        <f>_xlfn.XLOOKUP(Cat_SKU[[#This Row],[Item]],CAT_MOD_v31[NÚMERO DE ARTÍCULO (SAP)],CAT_MOD_v31[AÑO],"",0)</f>
        <v/>
      </c>
    </row>
    <row r="311" spans="1:7" x14ac:dyDescent="0.35">
      <c r="A311" t="s">
        <v>3</v>
      </c>
      <c r="B311" s="1">
        <v>571603</v>
      </c>
      <c r="C311" t="s">
        <v>712</v>
      </c>
      <c r="D311" t="s">
        <v>737</v>
      </c>
      <c r="E311" s="2" t="str">
        <f>_xlfn.XLOOKUP(Cat_SKU[[#This Row],[Item]],CAT_MOD_v31[NÚMERO DE ARTÍCULO (SAP)],CAT_MOD_v31[RESUMIDO],"",0)</f>
        <v/>
      </c>
      <c r="F311" s="2" t="str">
        <f>_xlfn.XLOOKUP(Cat_SKU[[#This Row],[Item]],CAT_MOD_v31[NÚMERO DE ARTÍCULO (SAP)],CAT_MOD_v31[COLOR],"",0)</f>
        <v/>
      </c>
      <c r="G311" s="2" t="str">
        <f>_xlfn.XLOOKUP(Cat_SKU[[#This Row],[Item]],CAT_MOD_v31[NÚMERO DE ARTÍCULO (SAP)],CAT_MOD_v31[AÑO],"",0)</f>
        <v/>
      </c>
    </row>
    <row r="312" spans="1:7" x14ac:dyDescent="0.35">
      <c r="A312" t="s">
        <v>3</v>
      </c>
      <c r="B312" s="1">
        <v>571613</v>
      </c>
      <c r="C312" t="s">
        <v>713</v>
      </c>
      <c r="D312" t="s">
        <v>738</v>
      </c>
      <c r="E312" s="2" t="str">
        <f>_xlfn.XLOOKUP(Cat_SKU[[#This Row],[Item]],CAT_MOD_v31[NÚMERO DE ARTÍCULO (SAP)],CAT_MOD_v31[RESUMIDO],"",0)</f>
        <v/>
      </c>
      <c r="F312" s="2" t="str">
        <f>_xlfn.XLOOKUP(Cat_SKU[[#This Row],[Item]],CAT_MOD_v31[NÚMERO DE ARTÍCULO (SAP)],CAT_MOD_v31[COLOR],"",0)</f>
        <v/>
      </c>
      <c r="G312" s="2" t="str">
        <f>_xlfn.XLOOKUP(Cat_SKU[[#This Row],[Item]],CAT_MOD_v31[NÚMERO DE ARTÍCULO (SAP)],CAT_MOD_v31[AÑO],"",0)</f>
        <v/>
      </c>
    </row>
    <row r="313" spans="1:7" x14ac:dyDescent="0.35">
      <c r="A313" t="s">
        <v>3</v>
      </c>
      <c r="B313" s="1">
        <v>571621</v>
      </c>
      <c r="C313" t="s">
        <v>714</v>
      </c>
      <c r="D313" t="s">
        <v>739</v>
      </c>
      <c r="E313" s="2" t="str">
        <f>_xlfn.XLOOKUP(Cat_SKU[[#This Row],[Item]],CAT_MOD_v31[NÚMERO DE ARTÍCULO (SAP)],CAT_MOD_v31[RESUMIDO],"",0)</f>
        <v/>
      </c>
      <c r="F313" s="2" t="str">
        <f>_xlfn.XLOOKUP(Cat_SKU[[#This Row],[Item]],CAT_MOD_v31[NÚMERO DE ARTÍCULO (SAP)],CAT_MOD_v31[COLOR],"",0)</f>
        <v/>
      </c>
      <c r="G313" s="2" t="str">
        <f>_xlfn.XLOOKUP(Cat_SKU[[#This Row],[Item]],CAT_MOD_v31[NÚMERO DE ARTÍCULO (SAP)],CAT_MOD_v31[AÑO],"",0)</f>
        <v/>
      </c>
    </row>
    <row r="314" spans="1:7" x14ac:dyDescent="0.35">
      <c r="A314" t="s">
        <v>3</v>
      </c>
      <c r="B314" s="1">
        <v>571638</v>
      </c>
      <c r="C314" t="s">
        <v>715</v>
      </c>
      <c r="D314" t="s">
        <v>740</v>
      </c>
      <c r="E314" s="2" t="str">
        <f>_xlfn.XLOOKUP(Cat_SKU[[#This Row],[Item]],CAT_MOD_v31[NÚMERO DE ARTÍCULO (SAP)],CAT_MOD_v31[RESUMIDO],"",0)</f>
        <v/>
      </c>
      <c r="F314" s="2" t="str">
        <f>_xlfn.XLOOKUP(Cat_SKU[[#This Row],[Item]],CAT_MOD_v31[NÚMERO DE ARTÍCULO (SAP)],CAT_MOD_v31[COLOR],"",0)</f>
        <v/>
      </c>
      <c r="G314" s="2" t="str">
        <f>_xlfn.XLOOKUP(Cat_SKU[[#This Row],[Item]],CAT_MOD_v31[NÚMERO DE ARTÍCULO (SAP)],CAT_MOD_v31[AÑO],"",0)</f>
        <v/>
      </c>
    </row>
    <row r="315" spans="1:7" x14ac:dyDescent="0.35">
      <c r="A315" t="s">
        <v>3</v>
      </c>
      <c r="B315" s="1">
        <v>571646</v>
      </c>
      <c r="C315" t="s">
        <v>716</v>
      </c>
      <c r="D315" t="s">
        <v>741</v>
      </c>
      <c r="E315" s="2" t="str">
        <f>_xlfn.XLOOKUP(Cat_SKU[[#This Row],[Item]],CAT_MOD_v31[NÚMERO DE ARTÍCULO (SAP)],CAT_MOD_v31[RESUMIDO],"",0)</f>
        <v/>
      </c>
      <c r="F315" s="2" t="str">
        <f>_xlfn.XLOOKUP(Cat_SKU[[#This Row],[Item]],CAT_MOD_v31[NÚMERO DE ARTÍCULO (SAP)],CAT_MOD_v31[COLOR],"",0)</f>
        <v/>
      </c>
      <c r="G315" s="2" t="str">
        <f>_xlfn.XLOOKUP(Cat_SKU[[#This Row],[Item]],CAT_MOD_v31[NÚMERO DE ARTÍCULO (SAP)],CAT_MOD_v31[AÑO],"",0)</f>
        <v/>
      </c>
    </row>
    <row r="316" spans="1:7" x14ac:dyDescent="0.35">
      <c r="A316" t="s">
        <v>3</v>
      </c>
      <c r="B316" s="1">
        <v>571654</v>
      </c>
      <c r="C316" t="s">
        <v>717</v>
      </c>
      <c r="D316" t="s">
        <v>742</v>
      </c>
      <c r="E316" s="2" t="str">
        <f>_xlfn.XLOOKUP(Cat_SKU[[#This Row],[Item]],CAT_MOD_v31[NÚMERO DE ARTÍCULO (SAP)],CAT_MOD_v31[RESUMIDO],"",0)</f>
        <v/>
      </c>
      <c r="F316" s="2" t="str">
        <f>_xlfn.XLOOKUP(Cat_SKU[[#This Row],[Item]],CAT_MOD_v31[NÚMERO DE ARTÍCULO (SAP)],CAT_MOD_v31[COLOR],"",0)</f>
        <v/>
      </c>
      <c r="G316" s="2" t="str">
        <f>_xlfn.XLOOKUP(Cat_SKU[[#This Row],[Item]],CAT_MOD_v31[NÚMERO DE ARTÍCULO (SAP)],CAT_MOD_v31[AÑO],"",0)</f>
        <v/>
      </c>
    </row>
    <row r="317" spans="1:7" x14ac:dyDescent="0.35">
      <c r="A317" t="s">
        <v>3</v>
      </c>
      <c r="B317" s="1">
        <v>571672</v>
      </c>
      <c r="C317" t="s">
        <v>718</v>
      </c>
      <c r="D317" t="s">
        <v>743</v>
      </c>
      <c r="E317" s="2" t="str">
        <f>_xlfn.XLOOKUP(Cat_SKU[[#This Row],[Item]],CAT_MOD_v31[NÚMERO DE ARTÍCULO (SAP)],CAT_MOD_v31[RESUMIDO],"",0)</f>
        <v/>
      </c>
      <c r="F317" s="2" t="str">
        <f>_xlfn.XLOOKUP(Cat_SKU[[#This Row],[Item]],CAT_MOD_v31[NÚMERO DE ARTÍCULO (SAP)],CAT_MOD_v31[COLOR],"",0)</f>
        <v/>
      </c>
      <c r="G317" s="2" t="str">
        <f>_xlfn.XLOOKUP(Cat_SKU[[#This Row],[Item]],CAT_MOD_v31[NÚMERO DE ARTÍCULO (SAP)],CAT_MOD_v31[AÑO],"",0)</f>
        <v/>
      </c>
    </row>
    <row r="318" spans="1:7" x14ac:dyDescent="0.35">
      <c r="A318" t="s">
        <v>3</v>
      </c>
      <c r="B318" s="1">
        <v>572764</v>
      </c>
      <c r="C318" t="s">
        <v>90</v>
      </c>
      <c r="D318" t="s">
        <v>414</v>
      </c>
      <c r="E318" s="2" t="str">
        <f>_xlfn.XLOOKUP(Cat_SKU[[#This Row],[Item]],CAT_MOD_v31[NÚMERO DE ARTÍCULO (SAP)],CAT_MOD_v31[RESUMIDO],"",0)</f>
        <v>Platina ES100</v>
      </c>
      <c r="F318" s="2" t="str">
        <f>_xlfn.XLOOKUP(Cat_SKU[[#This Row],[Item]],CAT_MOD_v31[NÚMERO DE ARTÍCULO (SAP)],CAT_MOD_v31[COLOR],"",0)</f>
        <v>Rojo</v>
      </c>
      <c r="G318" s="2">
        <f>_xlfn.XLOOKUP(Cat_SKU[[#This Row],[Item]],CAT_MOD_v31[NÚMERO DE ARTÍCULO (SAP)],CAT_MOD_v31[AÑO],"",0)</f>
        <v>2021</v>
      </c>
    </row>
    <row r="319" spans="1:7" x14ac:dyDescent="0.35">
      <c r="A319" t="s">
        <v>3</v>
      </c>
      <c r="B319" s="1">
        <v>572829</v>
      </c>
      <c r="C319" t="s">
        <v>49</v>
      </c>
      <c r="D319" t="s">
        <v>397</v>
      </c>
      <c r="E319" s="2" t="str">
        <f>_xlfn.XLOOKUP(Cat_SKU[[#This Row],[Item]],CAT_MOD_v31[NÚMERO DE ARTÍCULO (SAP)],CAT_MOD_v31[RESUMIDO],"",0)</f>
        <v>Pulsar LS125</v>
      </c>
      <c r="F319" s="2" t="str">
        <f>_xlfn.XLOOKUP(Cat_SKU[[#This Row],[Item]],CAT_MOD_v31[NÚMERO DE ARTÍCULO (SAP)],CAT_MOD_v31[COLOR],"",0)</f>
        <v>Amarillo</v>
      </c>
      <c r="G319" s="2">
        <f>_xlfn.XLOOKUP(Cat_SKU[[#This Row],[Item]],CAT_MOD_v31[NÚMERO DE ARTÍCULO (SAP)],CAT_MOD_v31[AÑO],"",0)</f>
        <v>2021</v>
      </c>
    </row>
    <row r="320" spans="1:7" x14ac:dyDescent="0.35">
      <c r="A320" t="s">
        <v>3</v>
      </c>
      <c r="B320" s="1">
        <v>572888</v>
      </c>
      <c r="C320" t="s">
        <v>93</v>
      </c>
      <c r="D320" t="s">
        <v>417</v>
      </c>
      <c r="E320" s="2" t="str">
        <f>_xlfn.XLOOKUP(Cat_SKU[[#This Row],[Item]],CAT_MOD_v31[NÚMERO DE ARTÍCULO (SAP)],CAT_MOD_v31[RESUMIDO],"",0)</f>
        <v>Boxer BM150</v>
      </c>
      <c r="F320" s="2" t="str">
        <f>_xlfn.XLOOKUP(Cat_SKU[[#This Row],[Item]],CAT_MOD_v31[NÚMERO DE ARTÍCULO (SAP)],CAT_MOD_v31[COLOR],"",0)</f>
        <v>Blanco</v>
      </c>
      <c r="G320" s="2">
        <f>_xlfn.XLOOKUP(Cat_SKU[[#This Row],[Item]],CAT_MOD_v31[NÚMERO DE ARTÍCULO (SAP)],CAT_MOD_v31[AÑO],"",0)</f>
        <v>2021</v>
      </c>
    </row>
    <row r="321" spans="1:7" x14ac:dyDescent="0.35">
      <c r="A321" t="s">
        <v>3</v>
      </c>
      <c r="B321" s="1">
        <v>573118</v>
      </c>
      <c r="C321" t="s">
        <v>71</v>
      </c>
      <c r="D321" t="s">
        <v>336</v>
      </c>
      <c r="E321" s="2" t="str">
        <f>_xlfn.XLOOKUP(Cat_SKU[[#This Row],[Item]],CAT_MOD_v31[NÚMERO DE ARTÍCULO (SAP)],CAT_MOD_v31[RESUMIDO],"",0)</f>
        <v>Pulsar N160 FI ABS</v>
      </c>
      <c r="F321" s="2" t="str">
        <f>_xlfn.XLOOKUP(Cat_SKU[[#This Row],[Item]],CAT_MOD_v31[NÚMERO DE ARTÍCULO (SAP)],CAT_MOD_v31[COLOR],"",0)</f>
        <v>Negro</v>
      </c>
      <c r="G321" s="2">
        <f>_xlfn.XLOOKUP(Cat_SKU[[#This Row],[Item]],CAT_MOD_v31[NÚMERO DE ARTÍCULO (SAP)],CAT_MOD_v31[AÑO],"",0)</f>
        <v>2023</v>
      </c>
    </row>
    <row r="322" spans="1:7" x14ac:dyDescent="0.35">
      <c r="A322" t="s">
        <v>3</v>
      </c>
      <c r="B322" s="1">
        <v>576508</v>
      </c>
      <c r="C322" t="s">
        <v>84</v>
      </c>
      <c r="D322" t="s">
        <v>349</v>
      </c>
      <c r="E322" s="2" t="str">
        <f>_xlfn.XLOOKUP(Cat_SKU[[#This Row],[Item]],CAT_MOD_v31[NÚMERO DE ARTÍCULO (SAP)],CAT_MOD_v31[RESUMIDO],"",0)</f>
        <v>Pulsar NS160</v>
      </c>
      <c r="F322" s="2" t="str">
        <f>_xlfn.XLOOKUP(Cat_SKU[[#This Row],[Item]],CAT_MOD_v31[NÚMERO DE ARTÍCULO (SAP)],CAT_MOD_v31[COLOR],"",0)</f>
        <v>Azul</v>
      </c>
      <c r="G322" s="2">
        <f>_xlfn.XLOOKUP(Cat_SKU[[#This Row],[Item]],CAT_MOD_v31[NÚMERO DE ARTÍCULO (SAP)],CAT_MOD_v31[AÑO],"",0)</f>
        <v>2024</v>
      </c>
    </row>
    <row r="323" spans="1:7" x14ac:dyDescent="0.35">
      <c r="A323" t="s">
        <v>3</v>
      </c>
      <c r="B323" s="1">
        <v>576583</v>
      </c>
      <c r="C323" t="s">
        <v>88</v>
      </c>
      <c r="D323" t="s">
        <v>350</v>
      </c>
      <c r="E323" s="2" t="str">
        <f>_xlfn.XLOOKUP(Cat_SKU[[#This Row],[Item]],CAT_MOD_v31[NÚMERO DE ARTÍCULO (SAP)],CAT_MOD_v31[RESUMIDO],"",0)</f>
        <v>Pulsar NS160</v>
      </c>
      <c r="F323" s="2" t="str">
        <f>_xlfn.XLOOKUP(Cat_SKU[[#This Row],[Item]],CAT_MOD_v31[NÚMERO DE ARTÍCULO (SAP)],CAT_MOD_v31[COLOR],"",0)</f>
        <v>Perla</v>
      </c>
      <c r="G323" s="2">
        <f>_xlfn.XLOOKUP(Cat_SKU[[#This Row],[Item]],CAT_MOD_v31[NÚMERO DE ARTÍCULO (SAP)],CAT_MOD_v31[AÑO],"",0)</f>
        <v>2024</v>
      </c>
    </row>
    <row r="324" spans="1:7" x14ac:dyDescent="0.35">
      <c r="A324" t="s">
        <v>3</v>
      </c>
      <c r="B324" s="1">
        <v>576605</v>
      </c>
      <c r="C324" t="s">
        <v>66</v>
      </c>
      <c r="D324" t="s">
        <v>294</v>
      </c>
      <c r="E324" s="2" t="str">
        <f>_xlfn.XLOOKUP(Cat_SKU[[#This Row],[Item]],CAT_MOD_v31[NÚMERO DE ARTÍCULO (SAP)],CAT_MOD_v31[RESUMIDO],"",0)</f>
        <v>Pulsar N250 FI ABS</v>
      </c>
      <c r="F324" s="2" t="str">
        <f>_xlfn.XLOOKUP(Cat_SKU[[#This Row],[Item]],CAT_MOD_v31[NÚMERO DE ARTÍCULO (SAP)],CAT_MOD_v31[COLOR],"",0)</f>
        <v>Negro</v>
      </c>
      <c r="G324" s="2">
        <f>_xlfn.XLOOKUP(Cat_SKU[[#This Row],[Item]],CAT_MOD_v31[NÚMERO DE ARTÍCULO (SAP)],CAT_MOD_v31[AÑO],"",0)</f>
        <v>2024</v>
      </c>
    </row>
    <row r="325" spans="1:7" x14ac:dyDescent="0.35">
      <c r="A325" t="s">
        <v>3</v>
      </c>
      <c r="B325" s="1">
        <v>576682</v>
      </c>
      <c r="C325" t="s">
        <v>52</v>
      </c>
      <c r="D325" t="s">
        <v>351</v>
      </c>
      <c r="E325" s="2" t="str">
        <f>_xlfn.XLOOKUP(Cat_SKU[[#This Row],[Item]],CAT_MOD_v31[NÚMERO DE ARTÍCULO (SAP)],CAT_MOD_v31[RESUMIDO],"",0)</f>
        <v>Pulsar LS125</v>
      </c>
      <c r="F325" s="2" t="str">
        <f>_xlfn.XLOOKUP(Cat_SKU[[#This Row],[Item]],CAT_MOD_v31[NÚMERO DE ARTÍCULO (SAP)],CAT_MOD_v31[COLOR],"",0)</f>
        <v>Amarillo</v>
      </c>
      <c r="G325" s="2">
        <f>_xlfn.XLOOKUP(Cat_SKU[[#This Row],[Item]],CAT_MOD_v31[NÚMERO DE ARTÍCULO (SAP)],CAT_MOD_v31[AÑO],"",0)</f>
        <v>2024</v>
      </c>
    </row>
    <row r="326" spans="1:7" x14ac:dyDescent="0.35">
      <c r="A326" t="s">
        <v>3</v>
      </c>
      <c r="B326" s="1">
        <v>576699</v>
      </c>
      <c r="C326" t="s">
        <v>56</v>
      </c>
      <c r="D326" t="s">
        <v>352</v>
      </c>
      <c r="E326" s="2" t="str">
        <f>_xlfn.XLOOKUP(Cat_SKU[[#This Row],[Item]],CAT_MOD_v31[NÚMERO DE ARTÍCULO (SAP)],CAT_MOD_v31[RESUMIDO],"",0)</f>
        <v>Pulsar LS125</v>
      </c>
      <c r="F326" s="2" t="str">
        <f>_xlfn.XLOOKUP(Cat_SKU[[#This Row],[Item]],CAT_MOD_v31[NÚMERO DE ARTÍCULO (SAP)],CAT_MOD_v31[COLOR],"",0)</f>
        <v>Negro</v>
      </c>
      <c r="G326" s="2">
        <f>_xlfn.XLOOKUP(Cat_SKU[[#This Row],[Item]],CAT_MOD_v31[NÚMERO DE ARTÍCULO (SAP)],CAT_MOD_v31[AÑO],"",0)</f>
        <v>2024</v>
      </c>
    </row>
    <row r="327" spans="1:7" x14ac:dyDescent="0.35">
      <c r="A327" t="s">
        <v>3</v>
      </c>
      <c r="B327" s="1">
        <v>577083</v>
      </c>
      <c r="C327" t="s">
        <v>47</v>
      </c>
      <c r="D327" t="s">
        <v>314</v>
      </c>
      <c r="E327" s="2" t="str">
        <f>_xlfn.XLOOKUP(Cat_SKU[[#This Row],[Item]],CAT_MOD_v31[NÚMERO DE ARTÍCULO (SAP)],CAT_MOD_v31[RESUMIDO],"",0)</f>
        <v>Pulsar NS200</v>
      </c>
      <c r="F327" s="2" t="str">
        <f>_xlfn.XLOOKUP(Cat_SKU[[#This Row],[Item]],CAT_MOD_v31[NÚMERO DE ARTÍCULO (SAP)],CAT_MOD_v31[COLOR],"",0)</f>
        <v>Gris</v>
      </c>
      <c r="G327" s="2">
        <f>_xlfn.XLOOKUP(Cat_SKU[[#This Row],[Item]],CAT_MOD_v31[NÚMERO DE ARTÍCULO (SAP)],CAT_MOD_v31[AÑO],"",0)</f>
        <v>2024</v>
      </c>
    </row>
    <row r="328" spans="1:7" x14ac:dyDescent="0.35">
      <c r="A328" t="s">
        <v>3</v>
      </c>
      <c r="B328" s="1">
        <v>577156</v>
      </c>
      <c r="C328" t="s">
        <v>96</v>
      </c>
      <c r="D328" t="s">
        <v>299</v>
      </c>
      <c r="E328" s="2" t="str">
        <f>_xlfn.XLOOKUP(Cat_SKU[[#This Row],[Item]],CAT_MOD_v31[NÚMERO DE ARTÍCULO (SAP)],CAT_MOD_v31[RESUMIDO],"",0)</f>
        <v>Boxer BM150</v>
      </c>
      <c r="F328" s="2" t="str">
        <f>_xlfn.XLOOKUP(Cat_SKU[[#This Row],[Item]],CAT_MOD_v31[NÚMERO DE ARTÍCULO (SAP)],CAT_MOD_v31[COLOR],"",0)</f>
        <v>Blanco</v>
      </c>
      <c r="G328" s="2">
        <f>_xlfn.XLOOKUP(Cat_SKU[[#This Row],[Item]],CAT_MOD_v31[NÚMERO DE ARTÍCULO (SAP)],CAT_MOD_v31[AÑO],"",0)</f>
        <v>2024</v>
      </c>
    </row>
    <row r="329" spans="1:7" x14ac:dyDescent="0.35">
      <c r="A329" t="s">
        <v>3</v>
      </c>
      <c r="B329" s="1">
        <v>578047</v>
      </c>
      <c r="C329" t="s">
        <v>13</v>
      </c>
      <c r="D329" t="s">
        <v>355</v>
      </c>
      <c r="E329" s="2" t="str">
        <f>_xlfn.XLOOKUP(Cat_SKU[[#This Row],[Item]],CAT_MOD_v31[NÚMERO DE ARTÍCULO (SAP)],CAT_MOD_v31[RESUMIDO],"",0)</f>
        <v>Pulsar RS200</v>
      </c>
      <c r="F329" s="2" t="str">
        <f>_xlfn.XLOOKUP(Cat_SKU[[#This Row],[Item]],CAT_MOD_v31[NÚMERO DE ARTÍCULO (SAP)],CAT_MOD_v31[COLOR],"",0)</f>
        <v>Perla</v>
      </c>
      <c r="G329" s="2">
        <f>_xlfn.XLOOKUP(Cat_SKU[[#This Row],[Item]],CAT_MOD_v31[NÚMERO DE ARTÍCULO (SAP)],CAT_MOD_v31[AÑO],"",0)</f>
        <v>2024</v>
      </c>
    </row>
    <row r="330" spans="1:7" x14ac:dyDescent="0.35">
      <c r="A330" t="s">
        <v>3</v>
      </c>
      <c r="B330" s="1">
        <v>578055</v>
      </c>
      <c r="C330" t="s">
        <v>8</v>
      </c>
      <c r="D330" t="s">
        <v>301</v>
      </c>
      <c r="E330" s="2" t="str">
        <f>_xlfn.XLOOKUP(Cat_SKU[[#This Row],[Item]],CAT_MOD_v31[NÚMERO DE ARTÍCULO (SAP)],CAT_MOD_v31[RESUMIDO],"",0)</f>
        <v>Pulsar RS200</v>
      </c>
      <c r="F330" s="2" t="str">
        <f>_xlfn.XLOOKUP(Cat_SKU[[#This Row],[Item]],CAT_MOD_v31[NÚMERO DE ARTÍCULO (SAP)],CAT_MOD_v31[COLOR],"",0)</f>
        <v>Gris</v>
      </c>
      <c r="G330" s="2">
        <f>_xlfn.XLOOKUP(Cat_SKU[[#This Row],[Item]],CAT_MOD_v31[NÚMERO DE ARTÍCULO (SAP)],CAT_MOD_v31[AÑO],"",0)</f>
        <v>2024</v>
      </c>
    </row>
    <row r="331" spans="1:7" x14ac:dyDescent="0.35">
      <c r="A331" t="s">
        <v>3</v>
      </c>
      <c r="B331" s="1">
        <v>578063</v>
      </c>
      <c r="C331" t="s">
        <v>100</v>
      </c>
      <c r="D331" t="s">
        <v>303</v>
      </c>
      <c r="E331" s="2" t="str">
        <f>_xlfn.XLOOKUP(Cat_SKU[[#This Row],[Item]],CAT_MOD_v31[NÚMERO DE ARTÍCULO (SAP)],CAT_MOD_v31[RESUMIDO],"",0)</f>
        <v>Avenger Cruise 220</v>
      </c>
      <c r="F331" s="2" t="str">
        <f>_xlfn.XLOOKUP(Cat_SKU[[#This Row],[Item]],CAT_MOD_v31[NÚMERO DE ARTÍCULO (SAP)],CAT_MOD_v31[COLOR],"",0)</f>
        <v>Negro</v>
      </c>
      <c r="G331" s="2">
        <f>_xlfn.XLOOKUP(Cat_SKU[[#This Row],[Item]],CAT_MOD_v31[NÚMERO DE ARTÍCULO (SAP)],CAT_MOD_v31[AÑO],"",0)</f>
        <v>2024</v>
      </c>
    </row>
    <row r="332" spans="1:7" x14ac:dyDescent="0.35">
      <c r="A332" t="s">
        <v>3</v>
      </c>
      <c r="B332" s="1">
        <v>578153</v>
      </c>
      <c r="C332" t="s">
        <v>72</v>
      </c>
      <c r="D332" t="s">
        <v>293</v>
      </c>
      <c r="E332" s="2" t="str">
        <f>_xlfn.XLOOKUP(Cat_SKU[[#This Row],[Item]],CAT_MOD_v31[NÚMERO DE ARTÍCULO (SAP)],CAT_MOD_v31[RESUMIDO],"",0)</f>
        <v>Pulsar N160 FI ABS</v>
      </c>
      <c r="F332" s="2" t="str">
        <f>_xlfn.XLOOKUP(Cat_SKU[[#This Row],[Item]],CAT_MOD_v31[NÚMERO DE ARTÍCULO (SAP)],CAT_MOD_v31[COLOR],"",0)</f>
        <v>Negro</v>
      </c>
      <c r="G332" s="2">
        <f>_xlfn.XLOOKUP(Cat_SKU[[#This Row],[Item]],CAT_MOD_v31[NÚMERO DE ARTÍCULO (SAP)],CAT_MOD_v31[AÑO],"",0)</f>
        <v>2024</v>
      </c>
    </row>
    <row r="333" spans="1:7" x14ac:dyDescent="0.35">
      <c r="A333" t="s">
        <v>3</v>
      </c>
      <c r="B333" s="1">
        <v>582712</v>
      </c>
      <c r="C333" t="s">
        <v>34</v>
      </c>
      <c r="D333" t="s">
        <v>298</v>
      </c>
      <c r="E333" s="2" t="str">
        <f>_xlfn.XLOOKUP(Cat_SKU[[#This Row],[Item]],CAT_MOD_v31[NÚMERO DE ARTÍCULO (SAP)],CAT_MOD_v31[RESUMIDO],"",0)</f>
        <v>Pulsar NS200 UG</v>
      </c>
      <c r="F333" s="2" t="str">
        <f>_xlfn.XLOOKUP(Cat_SKU[[#This Row],[Item]],CAT_MOD_v31[NÚMERO DE ARTÍCULO (SAP)],CAT_MOD_v31[COLOR],"",0)</f>
        <v>Perla</v>
      </c>
      <c r="G333" s="2">
        <f>_xlfn.XLOOKUP(Cat_SKU[[#This Row],[Item]],CAT_MOD_v31[NÚMERO DE ARTÍCULO (SAP)],CAT_MOD_v31[AÑO],"",0)</f>
        <v>2024</v>
      </c>
    </row>
    <row r="334" spans="1:7" x14ac:dyDescent="0.35">
      <c r="A334" t="s">
        <v>3</v>
      </c>
      <c r="B334" s="1">
        <v>582729</v>
      </c>
      <c r="C334" t="s">
        <v>29</v>
      </c>
      <c r="D334" t="s">
        <v>302</v>
      </c>
      <c r="E334" s="2" t="str">
        <f>_xlfn.XLOOKUP(Cat_SKU[[#This Row],[Item]],CAT_MOD_v31[NÚMERO DE ARTÍCULO (SAP)],CAT_MOD_v31[RESUMIDO],"",0)</f>
        <v>Pulsar NS200 UG</v>
      </c>
      <c r="F334" s="2" t="str">
        <f>_xlfn.XLOOKUP(Cat_SKU[[#This Row],[Item]],CAT_MOD_v31[NÚMERO DE ARTÍCULO (SAP)],CAT_MOD_v31[COLOR],"",0)</f>
        <v>Gris</v>
      </c>
      <c r="G334" s="2">
        <f>_xlfn.XLOOKUP(Cat_SKU[[#This Row],[Item]],CAT_MOD_v31[NÚMERO DE ARTÍCULO (SAP)],CAT_MOD_v31[AÑO],"",0)</f>
        <v>2024</v>
      </c>
    </row>
    <row r="335" spans="1:7" x14ac:dyDescent="0.35">
      <c r="A335" t="s">
        <v>3</v>
      </c>
      <c r="B335" s="1">
        <v>582737</v>
      </c>
      <c r="C335" t="s">
        <v>36</v>
      </c>
      <c r="D335" t="s">
        <v>388</v>
      </c>
      <c r="E335" s="2" t="str">
        <f>_xlfn.XLOOKUP(Cat_SKU[[#This Row],[Item]],CAT_MOD_v31[NÚMERO DE ARTÍCULO (SAP)],CAT_MOD_v31[RESUMIDO],"",0)</f>
        <v>Pulsar NS200 UG</v>
      </c>
      <c r="F335" s="2" t="str">
        <f>_xlfn.XLOOKUP(Cat_SKU[[#This Row],[Item]],CAT_MOD_v31[NÚMERO DE ARTÍCULO (SAP)],CAT_MOD_v31[COLOR],"",0)</f>
        <v>Rojo</v>
      </c>
      <c r="G335" s="2">
        <f>_xlfn.XLOOKUP(Cat_SKU[[#This Row],[Item]],CAT_MOD_v31[NÚMERO DE ARTÍCULO (SAP)],CAT_MOD_v31[AÑO],"",0)</f>
        <v>2024</v>
      </c>
    </row>
    <row r="336" spans="1:7" x14ac:dyDescent="0.35">
      <c r="A336" t="s">
        <v>3</v>
      </c>
      <c r="B336" s="1">
        <v>582745</v>
      </c>
      <c r="C336" t="s">
        <v>32</v>
      </c>
      <c r="D336" t="s">
        <v>291</v>
      </c>
      <c r="E336" s="2" t="str">
        <f>_xlfn.XLOOKUP(Cat_SKU[[#This Row],[Item]],CAT_MOD_v31[NÚMERO DE ARTÍCULO (SAP)],CAT_MOD_v31[RESUMIDO],"",0)</f>
        <v>Pulsar NS200 UG</v>
      </c>
      <c r="F336" s="2" t="str">
        <f>_xlfn.XLOOKUP(Cat_SKU[[#This Row],[Item]],CAT_MOD_v31[NÚMERO DE ARTÍCULO (SAP)],CAT_MOD_v31[COLOR],"",0)</f>
        <v>Negro</v>
      </c>
      <c r="G336" s="2">
        <f>_xlfn.XLOOKUP(Cat_SKU[[#This Row],[Item]],CAT_MOD_v31[NÚMERO DE ARTÍCULO (SAP)],CAT_MOD_v31[AÑO],"",0)</f>
        <v>2024</v>
      </c>
    </row>
    <row r="337" spans="1:7" x14ac:dyDescent="0.35">
      <c r="A337" t="s">
        <v>3</v>
      </c>
      <c r="B337" s="1">
        <v>582801</v>
      </c>
      <c r="C337" t="s">
        <v>21</v>
      </c>
      <c r="D337" t="s">
        <v>295</v>
      </c>
      <c r="E337" s="2" t="str">
        <f>_xlfn.XLOOKUP(Cat_SKU[[#This Row],[Item]],CAT_MOD_v31[NÚMERO DE ARTÍCULO (SAP)],CAT_MOD_v31[RESUMIDO],"",0)</f>
        <v>Pulsar NS160 UG</v>
      </c>
      <c r="F337" s="2" t="str">
        <f>_xlfn.XLOOKUP(Cat_SKU[[#This Row],[Item]],CAT_MOD_v31[NÚMERO DE ARTÍCULO (SAP)],CAT_MOD_v31[COLOR],"",0)</f>
        <v>Perla</v>
      </c>
      <c r="G337" s="2">
        <f>_xlfn.XLOOKUP(Cat_SKU[[#This Row],[Item]],CAT_MOD_v31[NÚMERO DE ARTÍCULO (SAP)],CAT_MOD_v31[AÑO],"",0)</f>
        <v>2024</v>
      </c>
    </row>
    <row r="338" spans="1:7" x14ac:dyDescent="0.35">
      <c r="A338" t="s">
        <v>3</v>
      </c>
      <c r="B338" s="1">
        <v>582818</v>
      </c>
      <c r="C338" t="s">
        <v>19</v>
      </c>
      <c r="D338" t="s">
        <v>277</v>
      </c>
      <c r="E338" s="2" t="str">
        <f>_xlfn.XLOOKUP(Cat_SKU[[#This Row],[Item]],CAT_MOD_v31[NÚMERO DE ARTÍCULO (SAP)],CAT_MOD_v31[RESUMIDO],"",0)</f>
        <v>Pulsar NS160 UG</v>
      </c>
      <c r="F338" s="2" t="str">
        <f>_xlfn.XLOOKUP(Cat_SKU[[#This Row],[Item]],CAT_MOD_v31[NÚMERO DE ARTÍCULO (SAP)],CAT_MOD_v31[COLOR],"",0)</f>
        <v>Negro</v>
      </c>
      <c r="G338" s="2">
        <f>_xlfn.XLOOKUP(Cat_SKU[[#This Row],[Item]],CAT_MOD_v31[NÚMERO DE ARTÍCULO (SAP)],CAT_MOD_v31[AÑO],"",0)</f>
        <v>2024</v>
      </c>
    </row>
    <row r="339" spans="1:7" x14ac:dyDescent="0.35">
      <c r="A339" t="s">
        <v>3</v>
      </c>
      <c r="B339" s="1">
        <v>582826</v>
      </c>
      <c r="C339" t="s">
        <v>16</v>
      </c>
      <c r="D339" t="s">
        <v>292</v>
      </c>
      <c r="E339" s="2" t="str">
        <f>_xlfn.XLOOKUP(Cat_SKU[[#This Row],[Item]],CAT_MOD_v31[NÚMERO DE ARTÍCULO (SAP)],CAT_MOD_v31[RESUMIDO],"",0)</f>
        <v>Pulsar NS160 UG</v>
      </c>
      <c r="F339" s="2" t="str">
        <f>_xlfn.XLOOKUP(Cat_SKU[[#This Row],[Item]],CAT_MOD_v31[NÚMERO DE ARTÍCULO (SAP)],CAT_MOD_v31[COLOR],"",0)</f>
        <v>Gris</v>
      </c>
      <c r="G339" s="2">
        <f>_xlfn.XLOOKUP(Cat_SKU[[#This Row],[Item]],CAT_MOD_v31[NÚMERO DE ARTÍCULO (SAP)],CAT_MOD_v31[AÑO],"",0)</f>
        <v>2024</v>
      </c>
    </row>
    <row r="340" spans="1:7" x14ac:dyDescent="0.35">
      <c r="A340" t="s">
        <v>3</v>
      </c>
      <c r="B340" s="1">
        <v>582923</v>
      </c>
      <c r="C340" t="s">
        <v>48</v>
      </c>
      <c r="D340" t="s">
        <v>354</v>
      </c>
      <c r="E340" s="2" t="str">
        <f>_xlfn.XLOOKUP(Cat_SKU[[#This Row],[Item]],CAT_MOD_v31[NÚMERO DE ARTÍCULO (SAP)],CAT_MOD_v31[RESUMIDO],"",0)</f>
        <v>Pulsar NS200</v>
      </c>
      <c r="F340" s="2" t="str">
        <f>_xlfn.XLOOKUP(Cat_SKU[[#This Row],[Item]],CAT_MOD_v31[NÚMERO DE ARTÍCULO (SAP)],CAT_MOD_v31[COLOR],"",0)</f>
        <v>Perla</v>
      </c>
      <c r="G340" s="2">
        <f>_xlfn.XLOOKUP(Cat_SKU[[#This Row],[Item]],CAT_MOD_v31[NÚMERO DE ARTÍCULO (SAP)],CAT_MOD_v31[AÑO],"",0)</f>
        <v>2024</v>
      </c>
    </row>
    <row r="341" spans="1:7" x14ac:dyDescent="0.35">
      <c r="A341" t="s">
        <v>3</v>
      </c>
      <c r="B341" s="1">
        <v>583793</v>
      </c>
      <c r="C341" t="s">
        <v>27</v>
      </c>
      <c r="D341" t="s">
        <v>290</v>
      </c>
      <c r="E341" s="2" t="str">
        <f>_xlfn.XLOOKUP(Cat_SKU[[#This Row],[Item]],CAT_MOD_v31[NÚMERO DE ARTÍCULO (SAP)],CAT_MOD_v31[RESUMIDO],"",0)</f>
        <v>Pulsar NS125 UG</v>
      </c>
      <c r="F341" s="2" t="str">
        <f>_xlfn.XLOOKUP(Cat_SKU[[#This Row],[Item]],CAT_MOD_v31[NÚMERO DE ARTÍCULO (SAP)],CAT_MOD_v31[COLOR],"",0)</f>
        <v>Naranja</v>
      </c>
      <c r="G341" s="2">
        <f>_xlfn.XLOOKUP(Cat_SKU[[#This Row],[Item]],CAT_MOD_v31[NÚMERO DE ARTÍCULO (SAP)],CAT_MOD_v31[AÑO],"",0)</f>
        <v>2024</v>
      </c>
    </row>
    <row r="342" spans="1:7" x14ac:dyDescent="0.35">
      <c r="A342" t="s">
        <v>3</v>
      </c>
      <c r="B342" s="1">
        <v>583806</v>
      </c>
      <c r="C342" t="s">
        <v>24</v>
      </c>
      <c r="D342" t="s">
        <v>289</v>
      </c>
      <c r="E342" s="2" t="str">
        <f>_xlfn.XLOOKUP(Cat_SKU[[#This Row],[Item]],CAT_MOD_v31[NÚMERO DE ARTÍCULO (SAP)],CAT_MOD_v31[RESUMIDO],"",0)</f>
        <v>Pulsar NS125 UG</v>
      </c>
      <c r="F342" s="2" t="str">
        <f>_xlfn.XLOOKUP(Cat_SKU[[#This Row],[Item]],CAT_MOD_v31[NÚMERO DE ARTÍCULO (SAP)],CAT_MOD_v31[COLOR],"",0)</f>
        <v>Gris</v>
      </c>
      <c r="G342" s="2">
        <f>_xlfn.XLOOKUP(Cat_SKU[[#This Row],[Item]],CAT_MOD_v31[NÚMERO DE ARTÍCULO (SAP)],CAT_MOD_v31[AÑO],"",0)</f>
        <v>2024</v>
      </c>
    </row>
    <row r="343" spans="1:7" x14ac:dyDescent="0.35">
      <c r="A343" t="s">
        <v>3</v>
      </c>
      <c r="B343" s="1">
        <v>584096</v>
      </c>
      <c r="C343" t="s">
        <v>53</v>
      </c>
      <c r="D343" t="s">
        <v>399</v>
      </c>
      <c r="E343" s="2" t="str">
        <f>_xlfn.XLOOKUP(Cat_SKU[[#This Row],[Item]],CAT_MOD_v31[NÚMERO DE ARTÍCULO (SAP)],CAT_MOD_v31[RESUMIDO],"",0)</f>
        <v>Pulsar LS125</v>
      </c>
      <c r="F343" s="2" t="str">
        <f>_xlfn.XLOOKUP(Cat_SKU[[#This Row],[Item]],CAT_MOD_v31[NÚMERO DE ARTÍCULO (SAP)],CAT_MOD_v31[COLOR],"",0)</f>
        <v>Negro</v>
      </c>
      <c r="G343" s="2">
        <f>_xlfn.XLOOKUP(Cat_SKU[[#This Row],[Item]],CAT_MOD_v31[NÚMERO DE ARTÍCULO (SAP)],CAT_MOD_v31[AÑO],"",0)</f>
        <v>2021</v>
      </c>
    </row>
    <row r="344" spans="1:7" x14ac:dyDescent="0.35">
      <c r="A344" t="s">
        <v>3</v>
      </c>
      <c r="B344" s="1">
        <v>585264</v>
      </c>
      <c r="C344" t="s">
        <v>78</v>
      </c>
      <c r="D344" t="s">
        <v>408</v>
      </c>
      <c r="E344" s="2" t="str">
        <f>_xlfn.XLOOKUP(Cat_SKU[[#This Row],[Item]],CAT_MOD_v31[NÚMERO DE ARTÍCULO (SAP)],CAT_MOD_v31[RESUMIDO],"",0)</f>
        <v>Pulsar LS125</v>
      </c>
      <c r="F344" s="2" t="str">
        <f>_xlfn.XLOOKUP(Cat_SKU[[#This Row],[Item]],CAT_MOD_v31[NÚMERO DE ARTÍCULO (SAP)],CAT_MOD_v31[COLOR],"",0)</f>
        <v>Amarillo</v>
      </c>
      <c r="G344" s="2">
        <f>_xlfn.XLOOKUP(Cat_SKU[[#This Row],[Item]],CAT_MOD_v31[NÚMERO DE ARTÍCULO (SAP)],CAT_MOD_v31[AÑO],"",0)</f>
        <v>2024</v>
      </c>
    </row>
    <row r="345" spans="1:7" x14ac:dyDescent="0.35">
      <c r="A345" t="s">
        <v>3</v>
      </c>
      <c r="B345" s="1">
        <v>585273</v>
      </c>
      <c r="C345" t="s">
        <v>79</v>
      </c>
      <c r="D345" t="s">
        <v>409</v>
      </c>
      <c r="E345" s="2" t="str">
        <f>_xlfn.XLOOKUP(Cat_SKU[[#This Row],[Item]],CAT_MOD_v31[NÚMERO DE ARTÍCULO (SAP)],CAT_MOD_v31[RESUMIDO],"",0)</f>
        <v>Pulsar LS125</v>
      </c>
      <c r="F345" s="2" t="str">
        <f>_xlfn.XLOOKUP(Cat_SKU[[#This Row],[Item]],CAT_MOD_v31[NÚMERO DE ARTÍCULO (SAP)],CAT_MOD_v31[COLOR],"",0)</f>
        <v>Negro</v>
      </c>
      <c r="G345" s="2">
        <f>_xlfn.XLOOKUP(Cat_SKU[[#This Row],[Item]],CAT_MOD_v31[NÚMERO DE ARTÍCULO (SAP)],CAT_MOD_v31[AÑO],"",0)</f>
        <v>2024</v>
      </c>
    </row>
    <row r="346" spans="1:7" x14ac:dyDescent="0.35">
      <c r="A346" t="s">
        <v>3</v>
      </c>
      <c r="B346" s="1">
        <v>589152</v>
      </c>
      <c r="C346" t="s">
        <v>719</v>
      </c>
      <c r="D346" t="s">
        <v>744</v>
      </c>
      <c r="E346" s="2" t="str">
        <f>_xlfn.XLOOKUP(Cat_SKU[[#This Row],[Item]],CAT_MOD_v31[NÚMERO DE ARTÍCULO (SAP)],CAT_MOD_v31[RESUMIDO],"",0)</f>
        <v>Pulsar NS200</v>
      </c>
      <c r="F346" s="2" t="str">
        <f>_xlfn.XLOOKUP(Cat_SKU[[#This Row],[Item]],CAT_MOD_v31[NÚMERO DE ARTÍCULO (SAP)],CAT_MOD_v31[COLOR],"",0)</f>
        <v>Negro</v>
      </c>
      <c r="G346" s="2">
        <f>_xlfn.XLOOKUP(Cat_SKU[[#This Row],[Item]],CAT_MOD_v31[NÚMERO DE ARTÍCULO (SAP)],CAT_MOD_v31[AÑO],"",0)</f>
        <v>2021</v>
      </c>
    </row>
    <row r="347" spans="1:7" x14ac:dyDescent="0.35">
      <c r="A347" t="s">
        <v>3</v>
      </c>
      <c r="B347" s="1">
        <v>589195</v>
      </c>
      <c r="C347" t="s">
        <v>97</v>
      </c>
      <c r="D347" t="s">
        <v>418</v>
      </c>
      <c r="E347" s="2" t="str">
        <f>_xlfn.XLOOKUP(Cat_SKU[[#This Row],[Item]],CAT_MOD_v31[NÚMERO DE ARTÍCULO (SAP)],CAT_MOD_v31[RESUMIDO],"",0)</f>
        <v>Avenger Cruise 220</v>
      </c>
      <c r="F347" s="2" t="str">
        <f>_xlfn.XLOOKUP(Cat_SKU[[#This Row],[Item]],CAT_MOD_v31[NÚMERO DE ARTÍCULO (SAP)],CAT_MOD_v31[COLOR],"",0)</f>
        <v>Negro</v>
      </c>
      <c r="G347" s="2">
        <f>_xlfn.XLOOKUP(Cat_SKU[[#This Row],[Item]],CAT_MOD_v31[NÚMERO DE ARTÍCULO (SAP)],CAT_MOD_v31[AÑO],"",0)</f>
        <v>2021</v>
      </c>
    </row>
    <row r="348" spans="1:7" x14ac:dyDescent="0.35">
      <c r="A348" t="s">
        <v>3</v>
      </c>
      <c r="B348" s="1">
        <v>593178</v>
      </c>
      <c r="C348" t="s">
        <v>28</v>
      </c>
      <c r="D348" t="s">
        <v>269</v>
      </c>
      <c r="E348" s="2" t="str">
        <f>_xlfn.XLOOKUP(Cat_SKU[[#This Row],[Item]],CAT_MOD_v31[NÚMERO DE ARTÍCULO (SAP)],CAT_MOD_v31[RESUMIDO],"",0)</f>
        <v>Pulsar NS125 UG</v>
      </c>
      <c r="F348" s="2" t="str">
        <f>_xlfn.XLOOKUP(Cat_SKU[[#This Row],[Item]],CAT_MOD_v31[NÚMERO DE ARTÍCULO (SAP)],CAT_MOD_v31[COLOR],"",0)</f>
        <v>Naranja</v>
      </c>
      <c r="G348" s="2">
        <f>_xlfn.XLOOKUP(Cat_SKU[[#This Row],[Item]],CAT_MOD_v31[NÚMERO DE ARTÍCULO (SAP)],CAT_MOD_v31[AÑO],"",0)</f>
        <v>2025</v>
      </c>
    </row>
    <row r="349" spans="1:7" x14ac:dyDescent="0.35">
      <c r="A349" t="s">
        <v>3</v>
      </c>
      <c r="B349" s="1">
        <v>593186</v>
      </c>
      <c r="C349" t="s">
        <v>25</v>
      </c>
      <c r="D349" t="s">
        <v>265</v>
      </c>
      <c r="E349" s="2" t="str">
        <f>_xlfn.XLOOKUP(Cat_SKU[[#This Row],[Item]],CAT_MOD_v31[NÚMERO DE ARTÍCULO (SAP)],CAT_MOD_v31[RESUMIDO],"",0)</f>
        <v>Pulsar NS125 UG</v>
      </c>
      <c r="F349" s="2" t="str">
        <f>_xlfn.XLOOKUP(Cat_SKU[[#This Row],[Item]],CAT_MOD_v31[NÚMERO DE ARTÍCULO (SAP)],CAT_MOD_v31[COLOR],"",0)</f>
        <v>Gris</v>
      </c>
      <c r="G349" s="2">
        <f>_xlfn.XLOOKUP(Cat_SKU[[#This Row],[Item]],CAT_MOD_v31[NÚMERO DE ARTÍCULO (SAP)],CAT_MOD_v31[AÑO],"",0)</f>
        <v>2025</v>
      </c>
    </row>
    <row r="350" spans="1:7" x14ac:dyDescent="0.35">
      <c r="A350" t="s">
        <v>3</v>
      </c>
      <c r="B350" s="1">
        <v>593242</v>
      </c>
      <c r="C350" t="s">
        <v>22</v>
      </c>
      <c r="D350" t="s">
        <v>267</v>
      </c>
      <c r="E350" s="2" t="str">
        <f>_xlfn.XLOOKUP(Cat_SKU[[#This Row],[Item]],CAT_MOD_v31[NÚMERO DE ARTÍCULO (SAP)],CAT_MOD_v31[RESUMIDO],"",0)</f>
        <v>Pulsar NS160 UG</v>
      </c>
      <c r="F350" s="2" t="str">
        <f>_xlfn.XLOOKUP(Cat_SKU[[#This Row],[Item]],CAT_MOD_v31[NÚMERO DE ARTÍCULO (SAP)],CAT_MOD_v31[COLOR],"",0)</f>
        <v>Perla</v>
      </c>
      <c r="G350" s="2">
        <f>_xlfn.XLOOKUP(Cat_SKU[[#This Row],[Item]],CAT_MOD_v31[NÚMERO DE ARTÍCULO (SAP)],CAT_MOD_v31[AÑO],"",0)</f>
        <v>2025</v>
      </c>
    </row>
    <row r="351" spans="1:7" x14ac:dyDescent="0.35">
      <c r="A351" t="s">
        <v>3</v>
      </c>
      <c r="B351" s="1">
        <v>593259</v>
      </c>
      <c r="C351" t="s">
        <v>17</v>
      </c>
      <c r="D351" t="s">
        <v>282</v>
      </c>
      <c r="E351" s="2" t="str">
        <f>_xlfn.XLOOKUP(Cat_SKU[[#This Row],[Item]],CAT_MOD_v31[NÚMERO DE ARTÍCULO (SAP)],CAT_MOD_v31[RESUMIDO],"",0)</f>
        <v>Pulsar NS160 UG</v>
      </c>
      <c r="F351" s="2" t="str">
        <f>_xlfn.XLOOKUP(Cat_SKU[[#This Row],[Item]],CAT_MOD_v31[NÚMERO DE ARTÍCULO (SAP)],CAT_MOD_v31[COLOR],"",0)</f>
        <v>Gris</v>
      </c>
      <c r="G351" s="2">
        <f>_xlfn.XLOOKUP(Cat_SKU[[#This Row],[Item]],CAT_MOD_v31[NÚMERO DE ARTÍCULO (SAP)],CAT_MOD_v31[AÑO],"",0)</f>
        <v>2025</v>
      </c>
    </row>
    <row r="352" spans="1:7" x14ac:dyDescent="0.35">
      <c r="A352" t="s">
        <v>3</v>
      </c>
      <c r="B352" s="1">
        <v>593267</v>
      </c>
      <c r="C352" t="s">
        <v>20</v>
      </c>
      <c r="D352" t="s">
        <v>266</v>
      </c>
      <c r="E352" s="2" t="str">
        <f>_xlfn.XLOOKUP(Cat_SKU[[#This Row],[Item]],CAT_MOD_v31[NÚMERO DE ARTÍCULO (SAP)],CAT_MOD_v31[RESUMIDO],"",0)</f>
        <v>Pulsar NS160 UG</v>
      </c>
      <c r="F352" s="2" t="str">
        <f>_xlfn.XLOOKUP(Cat_SKU[[#This Row],[Item]],CAT_MOD_v31[NÚMERO DE ARTÍCULO (SAP)],CAT_MOD_v31[COLOR],"",0)</f>
        <v>Negro</v>
      </c>
      <c r="G352" s="2">
        <f>_xlfn.XLOOKUP(Cat_SKU[[#This Row],[Item]],CAT_MOD_v31[NÚMERO DE ARTÍCULO (SAP)],CAT_MOD_v31[AÑO],"",0)</f>
        <v>2025</v>
      </c>
    </row>
    <row r="353" spans="1:7" x14ac:dyDescent="0.35">
      <c r="A353" t="s">
        <v>3</v>
      </c>
      <c r="B353" s="1">
        <v>593323</v>
      </c>
      <c r="C353" t="s">
        <v>14</v>
      </c>
      <c r="D353" t="s">
        <v>287</v>
      </c>
      <c r="E353" s="2" t="str">
        <f>_xlfn.XLOOKUP(Cat_SKU[[#This Row],[Item]],CAT_MOD_v31[NÚMERO DE ARTÍCULO (SAP)],CAT_MOD_v31[RESUMIDO],"",0)</f>
        <v>Pulsar RS200</v>
      </c>
      <c r="F353" s="2" t="str">
        <f>_xlfn.XLOOKUP(Cat_SKU[[#This Row],[Item]],CAT_MOD_v31[NÚMERO DE ARTÍCULO (SAP)],CAT_MOD_v31[COLOR],"",0)</f>
        <v>Perla</v>
      </c>
      <c r="G353" s="2">
        <f>_xlfn.XLOOKUP(Cat_SKU[[#This Row],[Item]],CAT_MOD_v31[NÚMERO DE ARTÍCULO (SAP)],CAT_MOD_v31[AÑO],"",0)</f>
        <v>2025</v>
      </c>
    </row>
    <row r="354" spans="1:7" x14ac:dyDescent="0.35">
      <c r="A354" t="s">
        <v>3</v>
      </c>
      <c r="B354" s="1">
        <v>593331</v>
      </c>
      <c r="C354" t="s">
        <v>9</v>
      </c>
      <c r="D354" t="s">
        <v>284</v>
      </c>
      <c r="E354" s="2" t="str">
        <f>_xlfn.XLOOKUP(Cat_SKU[[#This Row],[Item]],CAT_MOD_v31[NÚMERO DE ARTÍCULO (SAP)],CAT_MOD_v31[RESUMIDO],"",0)</f>
        <v>Pulsar RS200</v>
      </c>
      <c r="F354" s="2" t="str">
        <f>_xlfn.XLOOKUP(Cat_SKU[[#This Row],[Item]],CAT_MOD_v31[NÚMERO DE ARTÍCULO (SAP)],CAT_MOD_v31[COLOR],"",0)</f>
        <v>Gris</v>
      </c>
      <c r="G354" s="2">
        <f>_xlfn.XLOOKUP(Cat_SKU[[#This Row],[Item]],CAT_MOD_v31[NÚMERO DE ARTÍCULO (SAP)],CAT_MOD_v31[AÑO],"",0)</f>
        <v>2025</v>
      </c>
    </row>
    <row r="355" spans="1:7" x14ac:dyDescent="0.35">
      <c r="A355" t="s">
        <v>3</v>
      </c>
      <c r="B355" s="1">
        <v>593399</v>
      </c>
      <c r="C355" t="s">
        <v>35</v>
      </c>
      <c r="D355" t="s">
        <v>286</v>
      </c>
      <c r="E355" s="2" t="str">
        <f>_xlfn.XLOOKUP(Cat_SKU[[#This Row],[Item]],CAT_MOD_v31[NÚMERO DE ARTÍCULO (SAP)],CAT_MOD_v31[RESUMIDO],"",0)</f>
        <v>Pulsar NS200 UG</v>
      </c>
      <c r="F355" s="2" t="str">
        <f>_xlfn.XLOOKUP(Cat_SKU[[#This Row],[Item]],CAT_MOD_v31[NÚMERO DE ARTÍCULO (SAP)],CAT_MOD_v31[COLOR],"",0)</f>
        <v>Perla</v>
      </c>
      <c r="G355" s="2">
        <f>_xlfn.XLOOKUP(Cat_SKU[[#This Row],[Item]],CAT_MOD_v31[NÚMERO DE ARTÍCULO (SAP)],CAT_MOD_v31[AÑO],"",0)</f>
        <v>2025</v>
      </c>
    </row>
    <row r="356" spans="1:7" x14ac:dyDescent="0.35">
      <c r="A356" t="s">
        <v>3</v>
      </c>
      <c r="B356" s="1">
        <v>593403</v>
      </c>
      <c r="C356" t="s">
        <v>30</v>
      </c>
      <c r="D356" t="s">
        <v>283</v>
      </c>
      <c r="E356" s="2" t="str">
        <f>_xlfn.XLOOKUP(Cat_SKU[[#This Row],[Item]],CAT_MOD_v31[NÚMERO DE ARTÍCULO (SAP)],CAT_MOD_v31[RESUMIDO],"",0)</f>
        <v>Pulsar NS200 UG</v>
      </c>
      <c r="F356" s="2" t="str">
        <f>_xlfn.XLOOKUP(Cat_SKU[[#This Row],[Item]],CAT_MOD_v31[NÚMERO DE ARTÍCULO (SAP)],CAT_MOD_v31[COLOR],"",0)</f>
        <v>Gris</v>
      </c>
      <c r="G356" s="2">
        <f>_xlfn.XLOOKUP(Cat_SKU[[#This Row],[Item]],CAT_MOD_v31[NÚMERO DE ARTÍCULO (SAP)],CAT_MOD_v31[AÑO],"",0)</f>
        <v>2025</v>
      </c>
    </row>
    <row r="357" spans="1:7" x14ac:dyDescent="0.35">
      <c r="A357" t="s">
        <v>3</v>
      </c>
      <c r="B357" s="1">
        <v>593412</v>
      </c>
      <c r="C357" t="s">
        <v>37</v>
      </c>
      <c r="D357" t="s">
        <v>389</v>
      </c>
      <c r="E357" s="2" t="str">
        <f>_xlfn.XLOOKUP(Cat_SKU[[#This Row],[Item]],CAT_MOD_v31[NÚMERO DE ARTÍCULO (SAP)],CAT_MOD_v31[RESUMIDO],"",0)</f>
        <v>Pulsar NS200 UG</v>
      </c>
      <c r="F357" s="2" t="str">
        <f>_xlfn.XLOOKUP(Cat_SKU[[#This Row],[Item]],CAT_MOD_v31[NÚMERO DE ARTÍCULO (SAP)],CAT_MOD_v31[COLOR],"",0)</f>
        <v>Rojo</v>
      </c>
      <c r="G357" s="2">
        <f>_xlfn.XLOOKUP(Cat_SKU[[#This Row],[Item]],CAT_MOD_v31[NÚMERO DE ARTÍCULO (SAP)],CAT_MOD_v31[AÑO],"",0)</f>
        <v>2025</v>
      </c>
    </row>
    <row r="358" spans="1:7" x14ac:dyDescent="0.35">
      <c r="A358" t="s">
        <v>3</v>
      </c>
      <c r="B358" s="1">
        <v>593429</v>
      </c>
      <c r="C358" t="s">
        <v>33</v>
      </c>
      <c r="D358" t="s">
        <v>285</v>
      </c>
      <c r="E358" s="2" t="str">
        <f>_xlfn.XLOOKUP(Cat_SKU[[#This Row],[Item]],CAT_MOD_v31[NÚMERO DE ARTÍCULO (SAP)],CAT_MOD_v31[RESUMIDO],"",0)</f>
        <v>Pulsar NS200 UG</v>
      </c>
      <c r="F358" s="2" t="str">
        <f>_xlfn.XLOOKUP(Cat_SKU[[#This Row],[Item]],CAT_MOD_v31[NÚMERO DE ARTÍCULO (SAP)],CAT_MOD_v31[COLOR],"",0)</f>
        <v>Negro</v>
      </c>
      <c r="G358" s="2">
        <f>_xlfn.XLOOKUP(Cat_SKU[[#This Row],[Item]],CAT_MOD_v31[NÚMERO DE ARTÍCULO (SAP)],CAT_MOD_v31[AÑO],"",0)</f>
        <v>2025</v>
      </c>
    </row>
    <row r="359" spans="1:7" x14ac:dyDescent="0.35">
      <c r="A359" t="s">
        <v>3</v>
      </c>
      <c r="B359" s="1">
        <v>593488</v>
      </c>
      <c r="C359" t="s">
        <v>101</v>
      </c>
      <c r="D359" t="s">
        <v>255</v>
      </c>
      <c r="E359" s="2" t="str">
        <f>_xlfn.XLOOKUP(Cat_SKU[[#This Row],[Item]],CAT_MOD_v31[NÚMERO DE ARTÍCULO (SAP)],CAT_MOD_v31[RESUMIDO],"",0)</f>
        <v>Avenger Cruise 220</v>
      </c>
      <c r="F359" s="2" t="str">
        <f>_xlfn.XLOOKUP(Cat_SKU[[#This Row],[Item]],CAT_MOD_v31[NÚMERO DE ARTÍCULO (SAP)],CAT_MOD_v31[COLOR],"",0)</f>
        <v>Negro</v>
      </c>
      <c r="G359" s="2">
        <f>_xlfn.XLOOKUP(Cat_SKU[[#This Row],[Item]],CAT_MOD_v31[NÚMERO DE ARTÍCULO (SAP)],CAT_MOD_v31[AÑO],"",0)</f>
        <v>2025</v>
      </c>
    </row>
    <row r="360" spans="1:7" x14ac:dyDescent="0.35">
      <c r="A360" t="s">
        <v>3</v>
      </c>
      <c r="B360" s="1">
        <v>593543</v>
      </c>
      <c r="C360" t="s">
        <v>89</v>
      </c>
      <c r="D360" t="s">
        <v>413</v>
      </c>
      <c r="E360" s="2" t="str">
        <f>_xlfn.XLOOKUP(Cat_SKU[[#This Row],[Item]],CAT_MOD_v31[NÚMERO DE ARTÍCULO (SAP)],CAT_MOD_v31[RESUMIDO],"",0)</f>
        <v>Pulsar LS125</v>
      </c>
      <c r="F360" s="2" t="str">
        <f>_xlfn.XLOOKUP(Cat_SKU[[#This Row],[Item]],CAT_MOD_v31[NÚMERO DE ARTÍCULO (SAP)],CAT_MOD_v31[COLOR],"",0)</f>
        <v>Amarillo</v>
      </c>
      <c r="G360" s="2">
        <f>_xlfn.XLOOKUP(Cat_SKU[[#This Row],[Item]],CAT_MOD_v31[NÚMERO DE ARTÍCULO (SAP)],CAT_MOD_v31[AÑO],"",0)</f>
        <v>2025</v>
      </c>
    </row>
    <row r="361" spans="1:7" x14ac:dyDescent="0.35">
      <c r="A361" t="s">
        <v>3</v>
      </c>
      <c r="B361" s="1">
        <v>593552</v>
      </c>
      <c r="C361" t="s">
        <v>57</v>
      </c>
      <c r="D361" t="s">
        <v>400</v>
      </c>
      <c r="E361" s="2" t="str">
        <f>_xlfn.XLOOKUP(Cat_SKU[[#This Row],[Item]],CAT_MOD_v31[NÚMERO DE ARTÍCULO (SAP)],CAT_MOD_v31[RESUMIDO],"",0)</f>
        <v>Pulsar LS125</v>
      </c>
      <c r="F361" s="2" t="str">
        <f>_xlfn.XLOOKUP(Cat_SKU[[#This Row],[Item]],CAT_MOD_v31[NÚMERO DE ARTÍCULO (SAP)],CAT_MOD_v31[COLOR],"",0)</f>
        <v>Negro</v>
      </c>
      <c r="G361" s="2">
        <f>_xlfn.XLOOKUP(Cat_SKU[[#This Row],[Item]],CAT_MOD_v31[NÚMERO DE ARTÍCULO (SAP)],CAT_MOD_v31[AÑO],"",0)</f>
        <v>2025</v>
      </c>
    </row>
    <row r="362" spans="1:7" x14ac:dyDescent="0.35">
      <c r="A362" t="s">
        <v>3</v>
      </c>
      <c r="B362" s="1">
        <v>593615</v>
      </c>
      <c r="C362" t="s">
        <v>73</v>
      </c>
      <c r="D362" t="s">
        <v>268</v>
      </c>
      <c r="E362" s="2" t="str">
        <f>_xlfn.XLOOKUP(Cat_SKU[[#This Row],[Item]],CAT_MOD_v31[NÚMERO DE ARTÍCULO (SAP)],CAT_MOD_v31[RESUMIDO],"",0)</f>
        <v>Pulsar N160 FI ABS</v>
      </c>
      <c r="F362" s="2" t="str">
        <f>_xlfn.XLOOKUP(Cat_SKU[[#This Row],[Item]],CAT_MOD_v31[NÚMERO DE ARTÍCULO (SAP)],CAT_MOD_v31[COLOR],"",0)</f>
        <v>Negro</v>
      </c>
      <c r="G362" s="2">
        <f>_xlfn.XLOOKUP(Cat_SKU[[#This Row],[Item]],CAT_MOD_v31[NÚMERO DE ARTÍCULO (SAP)],CAT_MOD_v31[AÑO],"",0)</f>
        <v>2025</v>
      </c>
    </row>
    <row r="363" spans="1:7" x14ac:dyDescent="0.35">
      <c r="A363" t="s">
        <v>3</v>
      </c>
      <c r="B363" s="1">
        <v>593713</v>
      </c>
      <c r="C363" t="s">
        <v>70</v>
      </c>
      <c r="D363" t="s">
        <v>300</v>
      </c>
      <c r="E363" s="2" t="str">
        <f>_xlfn.XLOOKUP(Cat_SKU[[#This Row],[Item]],CAT_MOD_v31[NÚMERO DE ARTÍCULO (SAP)],CAT_MOD_v31[RESUMIDO],"",0)</f>
        <v>Pulsar N250 FI ABS</v>
      </c>
      <c r="F363" s="2" t="str">
        <f>_xlfn.XLOOKUP(Cat_SKU[[#This Row],[Item]],CAT_MOD_v31[NÚMERO DE ARTÍCULO (SAP)],CAT_MOD_v31[COLOR],"",0)</f>
        <v>Rojo</v>
      </c>
      <c r="G363" s="2">
        <f>_xlfn.XLOOKUP(Cat_SKU[[#This Row],[Item]],CAT_MOD_v31[NÚMERO DE ARTÍCULO (SAP)],CAT_MOD_v31[AÑO],"",0)</f>
        <v>2025</v>
      </c>
    </row>
    <row r="364" spans="1:7" x14ac:dyDescent="0.35">
      <c r="A364" t="s">
        <v>3</v>
      </c>
      <c r="B364" s="1">
        <v>593722</v>
      </c>
      <c r="C364" t="s">
        <v>67</v>
      </c>
      <c r="D364" t="s">
        <v>274</v>
      </c>
      <c r="E364" s="2" t="str">
        <f>_xlfn.XLOOKUP(Cat_SKU[[#This Row],[Item]],CAT_MOD_v31[NÚMERO DE ARTÍCULO (SAP)],CAT_MOD_v31[RESUMIDO],"",0)</f>
        <v>Pulsar N250 FI ABS</v>
      </c>
      <c r="F364" s="2" t="str">
        <f>_xlfn.XLOOKUP(Cat_SKU[[#This Row],[Item]],CAT_MOD_v31[NÚMERO DE ARTÍCULO (SAP)],CAT_MOD_v31[COLOR],"",0)</f>
        <v>Negro</v>
      </c>
      <c r="G364" s="2">
        <f>_xlfn.XLOOKUP(Cat_SKU[[#This Row],[Item]],CAT_MOD_v31[NÚMERO DE ARTÍCULO (SAP)],CAT_MOD_v31[AÑO],"",0)</f>
        <v>2025</v>
      </c>
    </row>
    <row r="365" spans="1:7" x14ac:dyDescent="0.35">
      <c r="A365" t="s">
        <v>3</v>
      </c>
      <c r="B365" s="1">
        <v>596523</v>
      </c>
      <c r="C365" t="s">
        <v>44</v>
      </c>
      <c r="D365" t="s">
        <v>395</v>
      </c>
      <c r="E365" s="2" t="str">
        <f>_xlfn.XLOOKUP(Cat_SKU[[#This Row],[Item]],CAT_MOD_v31[NÚMERO DE ARTÍCULO (SAP)],CAT_MOD_v31[RESUMIDO],"",0)</f>
        <v>Pulsar NS200</v>
      </c>
      <c r="F365" s="2" t="str">
        <f>_xlfn.XLOOKUP(Cat_SKU[[#This Row],[Item]],CAT_MOD_v31[NÚMERO DE ARTÍCULO (SAP)],CAT_MOD_v31[COLOR],"",0)</f>
        <v>Gris</v>
      </c>
      <c r="G365" s="2">
        <f>_xlfn.XLOOKUP(Cat_SKU[[#This Row],[Item]],CAT_MOD_v31[NÚMERO DE ARTÍCULO (SAP)],CAT_MOD_v31[AÑO],"",0)</f>
        <v>2021</v>
      </c>
    </row>
    <row r="366" spans="1:7" x14ac:dyDescent="0.35">
      <c r="A366" t="s">
        <v>587</v>
      </c>
      <c r="B366" s="1" t="s">
        <v>588</v>
      </c>
      <c r="D366" t="s">
        <v>650</v>
      </c>
      <c r="E366" s="2" t="str">
        <f>_xlfn.XLOOKUP(Cat_SKU[[#This Row],[Item]],CAT_MOD_v31[NÚMERO DE ARTÍCULO (SAP)],CAT_MOD_v31[RESUMIDO],"",0)</f>
        <v>Avenger Cruise 220</v>
      </c>
      <c r="F366" s="2" t="str">
        <f>_xlfn.XLOOKUP(Cat_SKU[[#This Row],[Item]],CAT_MOD_v31[NÚMERO DE ARTÍCULO (SAP)],CAT_MOD_v31[COLOR],"",0)</f>
        <v>Negro</v>
      </c>
      <c r="G366" s="2">
        <f>_xlfn.XLOOKUP(Cat_SKU[[#This Row],[Item]],CAT_MOD_v31[NÚMERO DE ARTÍCULO (SAP)],CAT_MOD_v31[AÑO],"",0)</f>
        <v>2025</v>
      </c>
    </row>
    <row r="367" spans="1:7" x14ac:dyDescent="0.35">
      <c r="A367" t="s">
        <v>587</v>
      </c>
      <c r="B367" s="1" t="s">
        <v>589</v>
      </c>
      <c r="D367" t="s">
        <v>651</v>
      </c>
      <c r="E367" s="2" t="str">
        <f>_xlfn.XLOOKUP(Cat_SKU[[#This Row],[Item]],CAT_MOD_v31[NÚMERO DE ARTÍCULO (SAP)],CAT_MOD_v31[RESUMIDO],"",0)</f>
        <v>Boxer BM150</v>
      </c>
      <c r="F367" s="2" t="str">
        <f>_xlfn.XLOOKUP(Cat_SKU[[#This Row],[Item]],CAT_MOD_v31[NÚMERO DE ARTÍCULO (SAP)],CAT_MOD_v31[COLOR],"",0)</f>
        <v>Blanco</v>
      </c>
      <c r="G367" s="2">
        <f>_xlfn.XLOOKUP(Cat_SKU[[#This Row],[Item]],CAT_MOD_v31[NÚMERO DE ARTÍCULO (SAP)],CAT_MOD_v31[AÑO],"",0)</f>
        <v>2025</v>
      </c>
    </row>
    <row r="368" spans="1:7" x14ac:dyDescent="0.35">
      <c r="A368" t="s">
        <v>587</v>
      </c>
      <c r="B368" s="1" t="s">
        <v>590</v>
      </c>
      <c r="D368" t="s">
        <v>652</v>
      </c>
      <c r="E368" s="2" t="str">
        <f>_xlfn.XLOOKUP(Cat_SKU[[#This Row],[Item]],CAT_MOD_v31[NÚMERO DE ARTÍCULO (SAP)],CAT_MOD_v31[RESUMIDO],"",0)</f>
        <v>Boxer BM150</v>
      </c>
      <c r="F368" s="2" t="str">
        <f>_xlfn.XLOOKUP(Cat_SKU[[#This Row],[Item]],CAT_MOD_v31[NÚMERO DE ARTÍCULO (SAP)],CAT_MOD_v31[COLOR],"",0)</f>
        <v>Negro</v>
      </c>
      <c r="G368" s="2">
        <f>_xlfn.XLOOKUP(Cat_SKU[[#This Row],[Item]],CAT_MOD_v31[NÚMERO DE ARTÍCULO (SAP)],CAT_MOD_v31[AÑO],"",0)</f>
        <v>2025</v>
      </c>
    </row>
    <row r="369" spans="1:7" x14ac:dyDescent="0.35">
      <c r="A369" t="s">
        <v>587</v>
      </c>
      <c r="B369" s="1" t="s">
        <v>591</v>
      </c>
      <c r="D369" t="s">
        <v>653</v>
      </c>
      <c r="E369" s="2" t="str">
        <f>_xlfn.XLOOKUP(Cat_SKU[[#This Row],[Item]],CAT_MOD_v31[NÚMERO DE ARTÍCULO (SAP)],CAT_MOD_v31[RESUMIDO],"",0)</f>
        <v>Dominar 250</v>
      </c>
      <c r="F369" s="2" t="str">
        <f>_xlfn.XLOOKUP(Cat_SKU[[#This Row],[Item]],CAT_MOD_v31[NÚMERO DE ARTÍCULO (SAP)],CAT_MOD_v31[COLOR],"",0)</f>
        <v>Negro</v>
      </c>
      <c r="G369" s="2">
        <f>_xlfn.XLOOKUP(Cat_SKU[[#This Row],[Item]],CAT_MOD_v31[NÚMERO DE ARTÍCULO (SAP)],CAT_MOD_v31[AÑO],"",0)</f>
        <v>2025</v>
      </c>
    </row>
    <row r="370" spans="1:7" x14ac:dyDescent="0.35">
      <c r="A370" t="s">
        <v>587</v>
      </c>
      <c r="B370" s="1" t="s">
        <v>592</v>
      </c>
      <c r="D370" t="s">
        <v>654</v>
      </c>
      <c r="E370" s="2" t="str">
        <f>_xlfn.XLOOKUP(Cat_SKU[[#This Row],[Item]],CAT_MOD_v31[NÚMERO DE ARTÍCULO (SAP)],CAT_MOD_v31[RESUMIDO],"",0)</f>
        <v>Dominar 250</v>
      </c>
      <c r="F370" s="2" t="str">
        <f>_xlfn.XLOOKUP(Cat_SKU[[#This Row],[Item]],CAT_MOD_v31[NÚMERO DE ARTÍCULO (SAP)],CAT_MOD_v31[COLOR],"",0)</f>
        <v>Rojo</v>
      </c>
      <c r="G370" s="2">
        <f>_xlfn.XLOOKUP(Cat_SKU[[#This Row],[Item]],CAT_MOD_v31[NÚMERO DE ARTÍCULO (SAP)],CAT_MOD_v31[AÑO],"",0)</f>
        <v>2025</v>
      </c>
    </row>
    <row r="371" spans="1:7" x14ac:dyDescent="0.35">
      <c r="A371" t="s">
        <v>587</v>
      </c>
      <c r="B371" s="1" t="s">
        <v>593</v>
      </c>
      <c r="D371" t="s">
        <v>655</v>
      </c>
      <c r="E371" s="2" t="str">
        <f>_xlfn.XLOOKUP(Cat_SKU[[#This Row],[Item]],CAT_MOD_v31[NÚMERO DE ARTÍCULO (SAP)],CAT_MOD_v31[RESUMIDO],"",0)</f>
        <v>Dominar 400</v>
      </c>
      <c r="F371" s="2" t="str">
        <f>_xlfn.XLOOKUP(Cat_SKU[[#This Row],[Item]],CAT_MOD_v31[NÚMERO DE ARTÍCULO (SAP)],CAT_MOD_v31[COLOR],"",0)</f>
        <v>Verde</v>
      </c>
      <c r="G371" s="2">
        <f>_xlfn.XLOOKUP(Cat_SKU[[#This Row],[Item]],CAT_MOD_v31[NÚMERO DE ARTÍCULO (SAP)],CAT_MOD_v31[AÑO],"",0)</f>
        <v>2025</v>
      </c>
    </row>
    <row r="372" spans="1:7" x14ac:dyDescent="0.35">
      <c r="A372" t="s">
        <v>587</v>
      </c>
      <c r="B372" s="1" t="s">
        <v>593</v>
      </c>
      <c r="D372" t="s">
        <v>686</v>
      </c>
      <c r="E372" s="2" t="str">
        <f>_xlfn.XLOOKUP(Cat_SKU[[#This Row],[Item]],CAT_MOD_v31[NÚMERO DE ARTÍCULO (SAP)],CAT_MOD_v31[RESUMIDO],"",0)</f>
        <v>Dominar 400</v>
      </c>
      <c r="F372" s="2" t="str">
        <f>_xlfn.XLOOKUP(Cat_SKU[[#This Row],[Item]],CAT_MOD_v31[NÚMERO DE ARTÍCULO (SAP)],CAT_MOD_v31[COLOR],"",0)</f>
        <v>Negro</v>
      </c>
      <c r="G372" s="2">
        <f>_xlfn.XLOOKUP(Cat_SKU[[#This Row],[Item]],CAT_MOD_v31[NÚMERO DE ARTÍCULO (SAP)],CAT_MOD_v31[AÑO],"",0)</f>
        <v>2025</v>
      </c>
    </row>
    <row r="373" spans="1:7" x14ac:dyDescent="0.35">
      <c r="A373" t="s">
        <v>587</v>
      </c>
      <c r="B373" s="1" t="s">
        <v>594</v>
      </c>
      <c r="D373" t="s">
        <v>656</v>
      </c>
      <c r="E373" s="2" t="str">
        <f>_xlfn.XLOOKUP(Cat_SKU[[#This Row],[Item]],CAT_MOD_v31[NÚMERO DE ARTÍCULO (SAP)],CAT_MOD_v31[RESUMIDO],"",0)</f>
        <v>Dominar 400</v>
      </c>
      <c r="F373" s="2" t="str">
        <f>_xlfn.XLOOKUP(Cat_SKU[[#This Row],[Item]],CAT_MOD_v31[NÚMERO DE ARTÍCULO (SAP)],CAT_MOD_v31[COLOR],"",0)</f>
        <v>Rojo</v>
      </c>
      <c r="G373" s="2">
        <f>_xlfn.XLOOKUP(Cat_SKU[[#This Row],[Item]],CAT_MOD_v31[NÚMERO DE ARTÍCULO (SAP)],CAT_MOD_v31[AÑO],"",0)</f>
        <v>2025</v>
      </c>
    </row>
    <row r="374" spans="1:7" x14ac:dyDescent="0.35">
      <c r="A374" t="s">
        <v>587</v>
      </c>
      <c r="B374" s="1" t="s">
        <v>595</v>
      </c>
      <c r="D374" t="s">
        <v>655</v>
      </c>
      <c r="E374" s="2" t="str">
        <f>_xlfn.XLOOKUP(Cat_SKU[[#This Row],[Item]],CAT_MOD_v31[NÚMERO DE ARTÍCULO (SAP)],CAT_MOD_v31[RESUMIDO],"",0)</f>
        <v>Dominar 400</v>
      </c>
      <c r="F374" s="2" t="str">
        <f>_xlfn.XLOOKUP(Cat_SKU[[#This Row],[Item]],CAT_MOD_v31[NÚMERO DE ARTÍCULO (SAP)],CAT_MOD_v31[COLOR],"",0)</f>
        <v>Verde</v>
      </c>
      <c r="G374" s="2">
        <f>_xlfn.XLOOKUP(Cat_SKU[[#This Row],[Item]],CAT_MOD_v31[NÚMERO DE ARTÍCULO (SAP)],CAT_MOD_v31[AÑO],"",0)</f>
        <v>2025</v>
      </c>
    </row>
    <row r="375" spans="1:7" x14ac:dyDescent="0.35">
      <c r="A375" t="s">
        <v>587</v>
      </c>
      <c r="B375" s="1" t="s">
        <v>637</v>
      </c>
      <c r="D375" t="s">
        <v>308</v>
      </c>
      <c r="E375" s="2" t="str">
        <f>_xlfn.XLOOKUP(Cat_SKU[[#This Row],[Item]],CAT_MOD_v31[NÚMERO DE ARTÍCULO (SAP)],CAT_MOD_v31[RESUMIDO],"",0)</f>
        <v>Dominar 400</v>
      </c>
      <c r="F375" s="2" t="str">
        <f>_xlfn.XLOOKUP(Cat_SKU[[#This Row],[Item]],CAT_MOD_v31[NÚMERO DE ARTÍCULO (SAP)],CAT_MOD_v31[COLOR],"",0)</f>
        <v>Negro</v>
      </c>
      <c r="G375" s="2">
        <f>_xlfn.XLOOKUP(Cat_SKU[[#This Row],[Item]],CAT_MOD_v31[NÚMERO DE ARTÍCULO (SAP)],CAT_MOD_v31[AÑO],"",0)</f>
        <v>2026</v>
      </c>
    </row>
    <row r="376" spans="1:7" x14ac:dyDescent="0.35">
      <c r="A376" t="s">
        <v>587</v>
      </c>
      <c r="B376" s="1" t="s">
        <v>647</v>
      </c>
      <c r="D376" t="s">
        <v>304</v>
      </c>
      <c r="E376" s="2" t="str">
        <f>_xlfn.XLOOKUP(Cat_SKU[[#This Row],[Item]],CAT_MOD_v31[NÚMERO DE ARTÍCULO (SAP)],CAT_MOD_v31[RESUMIDO],"",0)</f>
        <v>Pulsar N160</v>
      </c>
      <c r="F376" s="2" t="str">
        <f>_xlfn.XLOOKUP(Cat_SKU[[#This Row],[Item]],CAT_MOD_v31[NÚMERO DE ARTÍCULO (SAP)],CAT_MOD_v31[COLOR],"",0)</f>
        <v>Negro</v>
      </c>
      <c r="G376" s="2">
        <f>_xlfn.XLOOKUP(Cat_SKU[[#This Row],[Item]],CAT_MOD_v31[NÚMERO DE ARTÍCULO (SAP)],CAT_MOD_v31[AÑO],"",0)</f>
        <v>2025</v>
      </c>
    </row>
    <row r="377" spans="1:7" x14ac:dyDescent="0.35">
      <c r="A377" t="s">
        <v>587</v>
      </c>
      <c r="B377" s="1" t="s">
        <v>597</v>
      </c>
      <c r="D377" t="s">
        <v>658</v>
      </c>
      <c r="E377" s="2" t="str">
        <f>_xlfn.XLOOKUP(Cat_SKU[[#This Row],[Item]],CAT_MOD_v31[NÚMERO DE ARTÍCULO (SAP)],CAT_MOD_v31[RESUMIDO],"",0)</f>
        <v>Pulsar N160</v>
      </c>
      <c r="F377" s="2" t="str">
        <f>_xlfn.XLOOKUP(Cat_SKU[[#This Row],[Item]],CAT_MOD_v31[NÚMERO DE ARTÍCULO (SAP)],CAT_MOD_v31[COLOR],"",0)</f>
        <v>Negro</v>
      </c>
      <c r="G377" s="2">
        <f>_xlfn.XLOOKUP(Cat_SKU[[#This Row],[Item]],CAT_MOD_v31[NÚMERO DE ARTÍCULO (SAP)],CAT_MOD_v31[AÑO],"",0)</f>
        <v>2025</v>
      </c>
    </row>
    <row r="378" spans="1:7" x14ac:dyDescent="0.35">
      <c r="A378" t="s">
        <v>587</v>
      </c>
      <c r="B378" s="1" t="s">
        <v>599</v>
      </c>
      <c r="D378" t="s">
        <v>659</v>
      </c>
      <c r="E378" s="2" t="str">
        <f>_xlfn.XLOOKUP(Cat_SKU[[#This Row],[Item]],CAT_MOD_v31[NÚMERO DE ARTÍCULO (SAP)],CAT_MOD_v31[RESUMIDO],"",0)</f>
        <v>Pulsar N250</v>
      </c>
      <c r="F378" s="2" t="str">
        <f>_xlfn.XLOOKUP(Cat_SKU[[#This Row],[Item]],CAT_MOD_v31[NÚMERO DE ARTÍCULO (SAP)],CAT_MOD_v31[COLOR],"",0)</f>
        <v>Amarillo</v>
      </c>
      <c r="G378" s="2">
        <f>_xlfn.XLOOKUP(Cat_SKU[[#This Row],[Item]],CAT_MOD_v31[NÚMERO DE ARTÍCULO (SAP)],CAT_MOD_v31[AÑO],"",0)</f>
        <v>2025</v>
      </c>
    </row>
    <row r="379" spans="1:7" x14ac:dyDescent="0.35">
      <c r="A379" t="s">
        <v>587</v>
      </c>
      <c r="B379" s="1" t="s">
        <v>600</v>
      </c>
      <c r="D379" t="s">
        <v>660</v>
      </c>
      <c r="E379" s="2" t="str">
        <f>_xlfn.XLOOKUP(Cat_SKU[[#This Row],[Item]],CAT_MOD_v31[NÚMERO DE ARTÍCULO (SAP)],CAT_MOD_v31[RESUMIDO],"",0)</f>
        <v>Pulsar N250</v>
      </c>
      <c r="F379" s="2" t="str">
        <f>_xlfn.XLOOKUP(Cat_SKU[[#This Row],[Item]],CAT_MOD_v31[NÚMERO DE ARTÍCULO (SAP)],CAT_MOD_v31[COLOR],"",0)</f>
        <v>Azul</v>
      </c>
      <c r="G379" s="2">
        <f>_xlfn.XLOOKUP(Cat_SKU[[#This Row],[Item]],CAT_MOD_v31[NÚMERO DE ARTÍCULO (SAP)],CAT_MOD_v31[AÑO],"",0)</f>
        <v>2025</v>
      </c>
    </row>
    <row r="380" spans="1:7" x14ac:dyDescent="0.35">
      <c r="A380" t="s">
        <v>587</v>
      </c>
      <c r="B380" s="1" t="s">
        <v>605</v>
      </c>
      <c r="D380" t="s">
        <v>665</v>
      </c>
      <c r="E380" s="2" t="str">
        <f>_xlfn.XLOOKUP(Cat_SKU[[#This Row],[Item]],CAT_MOD_v31[NÚMERO DE ARTÍCULO (SAP)],CAT_MOD_v31[RESUMIDO],"",0)</f>
        <v>Pulsar N250</v>
      </c>
      <c r="F380" s="2" t="str">
        <f>_xlfn.XLOOKUP(Cat_SKU[[#This Row],[Item]],CAT_MOD_v31[NÚMERO DE ARTÍCULO (SAP)],CAT_MOD_v31[COLOR],"",0)</f>
        <v>Negro</v>
      </c>
      <c r="G380" s="2">
        <f>_xlfn.XLOOKUP(Cat_SKU[[#This Row],[Item]],CAT_MOD_v31[NÚMERO DE ARTÍCULO (SAP)],CAT_MOD_v31[AÑO],"",0)</f>
        <v>2025</v>
      </c>
    </row>
    <row r="381" spans="1:7" x14ac:dyDescent="0.35">
      <c r="A381" t="s">
        <v>587</v>
      </c>
      <c r="B381" s="1" t="s">
        <v>645</v>
      </c>
      <c r="D381" t="s">
        <v>288</v>
      </c>
      <c r="E381" s="2" t="str">
        <f>_xlfn.XLOOKUP(Cat_SKU[[#This Row],[Item]],CAT_MOD_v31[NÚMERO DE ARTÍCULO (SAP)],CAT_MOD_v31[RESUMIDO],"",0)</f>
        <v>Pulsar N250</v>
      </c>
      <c r="F381" s="2" t="str">
        <f>_xlfn.XLOOKUP(Cat_SKU[[#This Row],[Item]],CAT_MOD_v31[NÚMERO DE ARTÍCULO (SAP)],CAT_MOD_v31[COLOR],"",0)</f>
        <v>Amarillo</v>
      </c>
      <c r="G381" s="2">
        <f>_xlfn.XLOOKUP(Cat_SKU[[#This Row],[Item]],CAT_MOD_v31[NÚMERO DE ARTÍCULO (SAP)],CAT_MOD_v31[AÑO],"",0)</f>
        <v>2026</v>
      </c>
    </row>
    <row r="382" spans="1:7" x14ac:dyDescent="0.35">
      <c r="A382" t="s">
        <v>587</v>
      </c>
      <c r="B382" s="1" t="s">
        <v>644</v>
      </c>
      <c r="D382" t="s">
        <v>313</v>
      </c>
      <c r="E382" s="2" t="str">
        <f>_xlfn.XLOOKUP(Cat_SKU[[#This Row],[Item]],CAT_MOD_v31[NÚMERO DE ARTÍCULO (SAP)],CAT_MOD_v31[RESUMIDO],"",0)</f>
        <v>Pulsar N250</v>
      </c>
      <c r="F382" s="2" t="str">
        <f>_xlfn.XLOOKUP(Cat_SKU[[#This Row],[Item]],CAT_MOD_v31[NÚMERO DE ARTÍCULO (SAP)],CAT_MOD_v31[COLOR],"",0)</f>
        <v>Azul</v>
      </c>
      <c r="G382" s="2">
        <f>_xlfn.XLOOKUP(Cat_SKU[[#This Row],[Item]],CAT_MOD_v31[NÚMERO DE ARTÍCULO (SAP)],CAT_MOD_v31[AÑO],"",0)</f>
        <v>2026</v>
      </c>
    </row>
    <row r="383" spans="1:7" x14ac:dyDescent="0.35">
      <c r="A383" t="s">
        <v>587</v>
      </c>
      <c r="B383" s="1" t="s">
        <v>631</v>
      </c>
      <c r="D383" t="s">
        <v>305</v>
      </c>
      <c r="E383" s="2" t="str">
        <f>_xlfn.XLOOKUP(Cat_SKU[[#This Row],[Item]],CAT_MOD_v31[NÚMERO DE ARTÍCULO (SAP)],CAT_MOD_v31[RESUMIDO],"",0)</f>
        <v>Pulsar N250</v>
      </c>
      <c r="F383" s="2" t="str">
        <f>_xlfn.XLOOKUP(Cat_SKU[[#This Row],[Item]],CAT_MOD_v31[NÚMERO DE ARTÍCULO (SAP)],CAT_MOD_v31[COLOR],"",0)</f>
        <v>Negro</v>
      </c>
      <c r="G383" s="2">
        <f>_xlfn.XLOOKUP(Cat_SKU[[#This Row],[Item]],CAT_MOD_v31[NÚMERO DE ARTÍCULO (SAP)],CAT_MOD_v31[AÑO],"",0)</f>
        <v>2026</v>
      </c>
    </row>
    <row r="384" spans="1:7" x14ac:dyDescent="0.35">
      <c r="A384" t="s">
        <v>587</v>
      </c>
      <c r="B384" s="1" t="s">
        <v>602</v>
      </c>
      <c r="D384" t="s">
        <v>662</v>
      </c>
      <c r="E384" s="2" t="str">
        <f>_xlfn.XLOOKUP(Cat_SKU[[#This Row],[Item]],CAT_MOD_v31[NÚMERO DE ARTÍCULO (SAP)],CAT_MOD_v31[RESUMIDO],"",0)</f>
        <v>Pulsar N250 FI ABS</v>
      </c>
      <c r="F384" s="2" t="str">
        <f>_xlfn.XLOOKUP(Cat_SKU[[#This Row],[Item]],CAT_MOD_v31[NÚMERO DE ARTÍCULO (SAP)],CAT_MOD_v31[COLOR],"",0)</f>
        <v>Negro</v>
      </c>
      <c r="G384" s="2">
        <f>_xlfn.XLOOKUP(Cat_SKU[[#This Row],[Item]],CAT_MOD_v31[NÚMERO DE ARTÍCULO (SAP)],CAT_MOD_v31[AÑO],"",0)</f>
        <v>2025</v>
      </c>
    </row>
    <row r="385" spans="1:7" x14ac:dyDescent="0.35">
      <c r="A385" t="s">
        <v>587</v>
      </c>
      <c r="B385" s="1" t="s">
        <v>601</v>
      </c>
      <c r="D385" t="s">
        <v>661</v>
      </c>
      <c r="E385" s="2" t="str">
        <f>_xlfn.XLOOKUP(Cat_SKU[[#This Row],[Item]],CAT_MOD_v31[NÚMERO DE ARTÍCULO (SAP)],CAT_MOD_v31[RESUMIDO],"",0)</f>
        <v>Pulsar N250 FI ABS UG</v>
      </c>
      <c r="F385" s="2" t="str">
        <f>_xlfn.XLOOKUP(Cat_SKU[[#This Row],[Item]],CAT_MOD_v31[NÚMERO DE ARTÍCULO (SAP)],CAT_MOD_v31[COLOR],"",0)</f>
        <v>Rojo</v>
      </c>
      <c r="G385" s="2">
        <f>_xlfn.XLOOKUP(Cat_SKU[[#This Row],[Item]],CAT_MOD_v31[NÚMERO DE ARTÍCULO (SAP)],CAT_MOD_v31[AÑO],"",0)</f>
        <v>2025</v>
      </c>
    </row>
    <row r="386" spans="1:7" x14ac:dyDescent="0.35">
      <c r="A386" t="s">
        <v>587</v>
      </c>
      <c r="B386" s="1" t="s">
        <v>633</v>
      </c>
      <c r="D386" t="s">
        <v>683</v>
      </c>
      <c r="E386" s="2" t="str">
        <f>_xlfn.XLOOKUP(Cat_SKU[[#This Row],[Item]],CAT_MOD_v31[NÚMERO DE ARTÍCULO (SAP)],CAT_MOD_v31[RESUMIDO],"",0)</f>
        <v>Pulsar N250 FI ABS UG</v>
      </c>
      <c r="F386" s="2" t="str">
        <f>_xlfn.XLOOKUP(Cat_SKU[[#This Row],[Item]],CAT_MOD_v31[NÚMERO DE ARTÍCULO (SAP)],CAT_MOD_v31[COLOR],"",0)</f>
        <v>Blanco</v>
      </c>
      <c r="G386" s="2">
        <f>_xlfn.XLOOKUP(Cat_SKU[[#This Row],[Item]],CAT_MOD_v31[NÚMERO DE ARTÍCULO (SAP)],CAT_MOD_v31[AÑO],"",0)</f>
        <v>2025</v>
      </c>
    </row>
    <row r="387" spans="1:7" x14ac:dyDescent="0.35">
      <c r="A387" t="s">
        <v>587</v>
      </c>
      <c r="B387" s="1" t="s">
        <v>604</v>
      </c>
      <c r="D387" t="s">
        <v>664</v>
      </c>
      <c r="E387" s="2" t="str">
        <f>_xlfn.XLOOKUP(Cat_SKU[[#This Row],[Item]],CAT_MOD_v31[NÚMERO DE ARTÍCULO (SAP)],CAT_MOD_v31[RESUMIDO],"",0)</f>
        <v>Pulsar N250 FI ABS UG</v>
      </c>
      <c r="F387" s="2" t="str">
        <f>_xlfn.XLOOKUP(Cat_SKU[[#This Row],[Item]],CAT_MOD_v31[NÚMERO DE ARTÍCULO (SAP)],CAT_MOD_v31[COLOR],"",0)</f>
        <v>Negro</v>
      </c>
      <c r="G387" s="2">
        <f>_xlfn.XLOOKUP(Cat_SKU[[#This Row],[Item]],CAT_MOD_v31[NÚMERO DE ARTÍCULO (SAP)],CAT_MOD_v31[AÑO],"",0)</f>
        <v>2025</v>
      </c>
    </row>
    <row r="388" spans="1:7" x14ac:dyDescent="0.35">
      <c r="A388" t="s">
        <v>587</v>
      </c>
      <c r="B388" s="1" t="s">
        <v>630</v>
      </c>
      <c r="D388" t="s">
        <v>406</v>
      </c>
      <c r="E388" s="2" t="str">
        <f>_xlfn.XLOOKUP(Cat_SKU[[#This Row],[Item]],CAT_MOD_v31[NÚMERO DE ARTÍCULO (SAP)],CAT_MOD_v31[RESUMIDO],"",0)</f>
        <v>Pulsar N250 FI ABS UG</v>
      </c>
      <c r="F388" s="2" t="str">
        <f>_xlfn.XLOOKUP(Cat_SKU[[#This Row],[Item]],CAT_MOD_v31[NÚMERO DE ARTÍCULO (SAP)],CAT_MOD_v31[COLOR],"",0)</f>
        <v>Perla</v>
      </c>
      <c r="G388" s="2">
        <f>_xlfn.XLOOKUP(Cat_SKU[[#This Row],[Item]],CAT_MOD_v31[NÚMERO DE ARTÍCULO (SAP)],CAT_MOD_v31[AÑO],"",0)</f>
        <v>2025</v>
      </c>
    </row>
    <row r="389" spans="1:7" x14ac:dyDescent="0.35">
      <c r="A389" t="s">
        <v>587</v>
      </c>
      <c r="B389" s="1" t="s">
        <v>603</v>
      </c>
      <c r="D389" t="s">
        <v>663</v>
      </c>
      <c r="E389" s="2" t="str">
        <f>_xlfn.XLOOKUP(Cat_SKU[[#This Row],[Item]],CAT_MOD_v31[NÚMERO DE ARTÍCULO (SAP)],CAT_MOD_v31[RESUMIDO],"",0)</f>
        <v>Pulsar N250 FI ABS</v>
      </c>
      <c r="F389" s="2" t="str">
        <f>_xlfn.XLOOKUP(Cat_SKU[[#This Row],[Item]],CAT_MOD_v31[NÚMERO DE ARTÍCULO (SAP)],CAT_MOD_v31[COLOR],"",0)</f>
        <v>Rojo</v>
      </c>
      <c r="G389" s="2">
        <f>_xlfn.XLOOKUP(Cat_SKU[[#This Row],[Item]],CAT_MOD_v31[NÚMERO DE ARTÍCULO (SAP)],CAT_MOD_v31[AÑO],"",0)</f>
        <v>2025</v>
      </c>
    </row>
    <row r="390" spans="1:7" x14ac:dyDescent="0.35">
      <c r="A390" t="s">
        <v>587</v>
      </c>
      <c r="B390" s="1" t="s">
        <v>603</v>
      </c>
      <c r="D390" t="s">
        <v>655</v>
      </c>
      <c r="E390" s="2" t="str">
        <f>_xlfn.XLOOKUP(Cat_SKU[[#This Row],[Item]],CAT_MOD_v31[NÚMERO DE ARTÍCULO (SAP)],CAT_MOD_v31[RESUMIDO],"",0)</f>
        <v>Dominar 400</v>
      </c>
      <c r="F390" s="2" t="str">
        <f>_xlfn.XLOOKUP(Cat_SKU[[#This Row],[Item]],CAT_MOD_v31[NÚMERO DE ARTÍCULO (SAP)],CAT_MOD_v31[COLOR],"",0)</f>
        <v>Verde</v>
      </c>
      <c r="G390" s="2">
        <f>_xlfn.XLOOKUP(Cat_SKU[[#This Row],[Item]],CAT_MOD_v31[NÚMERO DE ARTÍCULO (SAP)],CAT_MOD_v31[AÑO],"",0)</f>
        <v>2025</v>
      </c>
    </row>
    <row r="391" spans="1:7" x14ac:dyDescent="0.35">
      <c r="A391" t="s">
        <v>587</v>
      </c>
      <c r="B391" s="1" t="s">
        <v>638</v>
      </c>
      <c r="D391" t="s">
        <v>270</v>
      </c>
      <c r="E391" s="2" t="str">
        <f>_xlfn.XLOOKUP(Cat_SKU[[#This Row],[Item]],CAT_MOD_v31[NÚMERO DE ARTÍCULO (SAP)],CAT_MOD_v31[RESUMIDO],"",0)</f>
        <v>Pulsar N250 FI ABS</v>
      </c>
      <c r="F391" s="2" t="str">
        <f>_xlfn.XLOOKUP(Cat_SKU[[#This Row],[Item]],CAT_MOD_v31[NÚMERO DE ARTÍCULO (SAP)],CAT_MOD_v31[COLOR],"",0)</f>
        <v>Negro</v>
      </c>
      <c r="G391" s="2">
        <f>_xlfn.XLOOKUP(Cat_SKU[[#This Row],[Item]],CAT_MOD_v31[NÚMERO DE ARTÍCULO (SAP)],CAT_MOD_v31[AÑO],"",0)</f>
        <v>2026</v>
      </c>
    </row>
    <row r="392" spans="1:7" x14ac:dyDescent="0.35">
      <c r="A392" t="s">
        <v>587</v>
      </c>
      <c r="B392" s="1" t="s">
        <v>646</v>
      </c>
      <c r="D392" t="s">
        <v>360</v>
      </c>
      <c r="E392" s="2" t="str">
        <f>_xlfn.XLOOKUP(Cat_SKU[[#This Row],[Item]],CAT_MOD_v31[NÚMERO DE ARTÍCULO (SAP)],CAT_MOD_v31[RESUMIDO],"",0)</f>
        <v>Pulsar N250 FI ABS</v>
      </c>
      <c r="F392" s="2" t="str">
        <f>_xlfn.XLOOKUP(Cat_SKU[[#This Row],[Item]],CAT_MOD_v31[NÚMERO DE ARTÍCULO (SAP)],CAT_MOD_v31[COLOR],"",0)</f>
        <v>Rojo</v>
      </c>
      <c r="G392" s="2">
        <f>_xlfn.XLOOKUP(Cat_SKU[[#This Row],[Item]],CAT_MOD_v31[NÚMERO DE ARTÍCULO (SAP)],CAT_MOD_v31[AÑO],"",0)</f>
        <v>2026</v>
      </c>
    </row>
    <row r="393" spans="1:7" x14ac:dyDescent="0.35">
      <c r="A393" t="s">
        <v>587</v>
      </c>
      <c r="B393" s="1" t="s">
        <v>627</v>
      </c>
      <c r="D393" t="s">
        <v>683</v>
      </c>
      <c r="E393" s="2" t="str">
        <f>_xlfn.XLOOKUP(Cat_SKU[[#This Row],[Item]],CAT_MOD_v31[NÚMERO DE ARTÍCULO (SAP)],CAT_MOD_v31[RESUMIDO],"",0)</f>
        <v>Pulsar N250 FI ABS UG</v>
      </c>
      <c r="F393" s="2" t="str">
        <f>_xlfn.XLOOKUP(Cat_SKU[[#This Row],[Item]],CAT_MOD_v31[NÚMERO DE ARTÍCULO (SAP)],CAT_MOD_v31[COLOR],"",0)</f>
        <v>Blanco</v>
      </c>
      <c r="G393" s="2">
        <f>_xlfn.XLOOKUP(Cat_SKU[[#This Row],[Item]],CAT_MOD_v31[NÚMERO DE ARTÍCULO (SAP)],CAT_MOD_v31[AÑO],"",0)</f>
        <v>2025</v>
      </c>
    </row>
    <row r="394" spans="1:7" x14ac:dyDescent="0.35">
      <c r="A394" t="s">
        <v>587</v>
      </c>
      <c r="B394" s="1" t="s">
        <v>626</v>
      </c>
      <c r="D394" t="s">
        <v>406</v>
      </c>
      <c r="E394" s="2" t="str">
        <f>_xlfn.XLOOKUP(Cat_SKU[[#This Row],[Item]],CAT_MOD_v31[NÚMERO DE ARTÍCULO (SAP)],CAT_MOD_v31[RESUMIDO],"",0)</f>
        <v>Pulsar N250 FI ABS UG</v>
      </c>
      <c r="F394" s="2" t="str">
        <f>_xlfn.XLOOKUP(Cat_SKU[[#This Row],[Item]],CAT_MOD_v31[NÚMERO DE ARTÍCULO (SAP)],CAT_MOD_v31[COLOR],"",0)</f>
        <v>Perla</v>
      </c>
      <c r="G394" s="2">
        <f>_xlfn.XLOOKUP(Cat_SKU[[#This Row],[Item]],CAT_MOD_v31[NÚMERO DE ARTÍCULO (SAP)],CAT_MOD_v31[AÑO],"",0)</f>
        <v>2025</v>
      </c>
    </row>
    <row r="395" spans="1:7" x14ac:dyDescent="0.35">
      <c r="A395" t="s">
        <v>587</v>
      </c>
      <c r="B395" s="1" t="s">
        <v>628</v>
      </c>
      <c r="D395" t="s">
        <v>305</v>
      </c>
      <c r="E395" s="2" t="str">
        <f>_xlfn.XLOOKUP(Cat_SKU[[#This Row],[Item]],CAT_MOD_v31[NÚMERO DE ARTÍCULO (SAP)],CAT_MOD_v31[RESUMIDO],"",0)</f>
        <v>Pulsar N250</v>
      </c>
      <c r="F395" s="2" t="str">
        <f>_xlfn.XLOOKUP(Cat_SKU[[#This Row],[Item]],CAT_MOD_v31[NÚMERO DE ARTÍCULO (SAP)],CAT_MOD_v31[COLOR],"",0)</f>
        <v>Negro</v>
      </c>
      <c r="G395" s="2">
        <f>_xlfn.XLOOKUP(Cat_SKU[[#This Row],[Item]],CAT_MOD_v31[NÚMERO DE ARTÍCULO (SAP)],CAT_MOD_v31[AÑO],"",0)</f>
        <v>2026</v>
      </c>
    </row>
    <row r="396" spans="1:7" x14ac:dyDescent="0.35">
      <c r="A396" t="s">
        <v>587</v>
      </c>
      <c r="B396" s="1" t="s">
        <v>648</v>
      </c>
      <c r="D396" t="s">
        <v>361</v>
      </c>
      <c r="E396" s="2" t="str">
        <f>_xlfn.XLOOKUP(Cat_SKU[[#This Row],[Item]],CAT_MOD_v31[NÚMERO DE ARTÍCULO (SAP)],CAT_MOD_v31[RESUMIDO],"",0)</f>
        <v>Pulsar N125 FI-CBS</v>
      </c>
      <c r="F396" s="2" t="str">
        <f>_xlfn.XLOOKUP(Cat_SKU[[#This Row],[Item]],CAT_MOD_v31[NÚMERO DE ARTÍCULO (SAP)],CAT_MOD_v31[COLOR],"",0)</f>
        <v>Citrus</v>
      </c>
      <c r="G396" s="2">
        <f>_xlfn.XLOOKUP(Cat_SKU[[#This Row],[Item]],CAT_MOD_v31[NÚMERO DE ARTÍCULO (SAP)],CAT_MOD_v31[AÑO],"",0)</f>
        <v>2026</v>
      </c>
    </row>
    <row r="397" spans="1:7" x14ac:dyDescent="0.35">
      <c r="A397" t="s">
        <v>587</v>
      </c>
      <c r="B397" s="1" t="s">
        <v>641</v>
      </c>
      <c r="D397" t="s">
        <v>262</v>
      </c>
      <c r="E397" s="2" t="str">
        <f>_xlfn.XLOOKUP(Cat_SKU[[#This Row],[Item]],CAT_MOD_v31[NÚMERO DE ARTÍCULO (SAP)],CAT_MOD_v31[RESUMIDO],"",0)</f>
        <v>Pulsar N125 FI-CBS</v>
      </c>
      <c r="F397" s="2" t="str">
        <f>_xlfn.XLOOKUP(Cat_SKU[[#This Row],[Item]],CAT_MOD_v31[NÚMERO DE ARTÍCULO (SAP)],CAT_MOD_v31[COLOR],"",0)</f>
        <v>Purpura</v>
      </c>
      <c r="G397" s="2">
        <f>_xlfn.XLOOKUP(Cat_SKU[[#This Row],[Item]],CAT_MOD_v31[NÚMERO DE ARTÍCULO (SAP)],CAT_MOD_v31[AÑO],"",0)</f>
        <v>2026</v>
      </c>
    </row>
    <row r="398" spans="1:7" x14ac:dyDescent="0.35">
      <c r="A398" t="s">
        <v>587</v>
      </c>
      <c r="B398" s="1" t="s">
        <v>639</v>
      </c>
      <c r="D398" t="s">
        <v>263</v>
      </c>
      <c r="E398" s="2" t="str">
        <f>_xlfn.XLOOKUP(Cat_SKU[[#This Row],[Item]],CAT_MOD_v31[NÚMERO DE ARTÍCULO (SAP)],CAT_MOD_v31[RESUMIDO],"",0)</f>
        <v>Pulsar N125 FI-CBS</v>
      </c>
      <c r="F398" s="2" t="str">
        <f>_xlfn.XLOOKUP(Cat_SKU[[#This Row],[Item]],CAT_MOD_v31[NÚMERO DE ARTÍCULO (SAP)],CAT_MOD_v31[COLOR],"",0)</f>
        <v>Rojo</v>
      </c>
      <c r="G398" s="2">
        <f>_xlfn.XLOOKUP(Cat_SKU[[#This Row],[Item]],CAT_MOD_v31[NÚMERO DE ARTÍCULO (SAP)],CAT_MOD_v31[AÑO],"",0)</f>
        <v>2026</v>
      </c>
    </row>
    <row r="399" spans="1:7" x14ac:dyDescent="0.35">
      <c r="A399" t="s">
        <v>587</v>
      </c>
      <c r="B399" s="1" t="s">
        <v>598</v>
      </c>
      <c r="D399" t="s">
        <v>658</v>
      </c>
      <c r="E399" s="2" t="str">
        <f>_xlfn.XLOOKUP(Cat_SKU[[#This Row],[Item]],CAT_MOD_v31[NÚMERO DE ARTÍCULO (SAP)],CAT_MOD_v31[RESUMIDO],"",0)</f>
        <v>Pulsar N160</v>
      </c>
      <c r="F399" s="2" t="str">
        <f>_xlfn.XLOOKUP(Cat_SKU[[#This Row],[Item]],CAT_MOD_v31[NÚMERO DE ARTÍCULO (SAP)],CAT_MOD_v31[COLOR],"",0)</f>
        <v>Negro</v>
      </c>
      <c r="G399" s="2">
        <f>_xlfn.XLOOKUP(Cat_SKU[[#This Row],[Item]],CAT_MOD_v31[NÚMERO DE ARTÍCULO (SAP)],CAT_MOD_v31[AÑO],"",0)</f>
        <v>2025</v>
      </c>
    </row>
    <row r="400" spans="1:7" x14ac:dyDescent="0.35">
      <c r="A400" t="s">
        <v>587</v>
      </c>
      <c r="B400" s="1" t="s">
        <v>596</v>
      </c>
      <c r="D400" t="s">
        <v>657</v>
      </c>
      <c r="E400" s="2" t="str">
        <f>_xlfn.XLOOKUP(Cat_SKU[[#This Row],[Item]],CAT_MOD_v31[NÚMERO DE ARTÍCULO (SAP)],CAT_MOD_v31[RESUMIDO],"",0)</f>
        <v>Pulsar N160 FI ABS</v>
      </c>
      <c r="F400" s="2" t="str">
        <f>_xlfn.XLOOKUP(Cat_SKU[[#This Row],[Item]],CAT_MOD_v31[NÚMERO DE ARTÍCULO (SAP)],CAT_MOD_v31[COLOR],"",0)</f>
        <v>Negro</v>
      </c>
      <c r="G400" s="2">
        <f>_xlfn.XLOOKUP(Cat_SKU[[#This Row],[Item]],CAT_MOD_v31[NÚMERO DE ARTÍCULO (SAP)],CAT_MOD_v31[AÑO],"",0)</f>
        <v>2025</v>
      </c>
    </row>
    <row r="401" spans="1:7" x14ac:dyDescent="0.35">
      <c r="A401" t="s">
        <v>587</v>
      </c>
      <c r="B401" s="1" t="s">
        <v>606</v>
      </c>
      <c r="D401" t="s">
        <v>666</v>
      </c>
      <c r="E401" s="2" t="str">
        <f>_xlfn.XLOOKUP(Cat_SKU[[#This Row],[Item]],CAT_MOD_v31[NÚMERO DE ARTÍCULO (SAP)],CAT_MOD_v31[RESUMIDO],"",0)</f>
        <v>Pulsar NS125 UG</v>
      </c>
      <c r="F401" s="2" t="str">
        <f>_xlfn.XLOOKUP(Cat_SKU[[#This Row],[Item]],CAT_MOD_v31[NÚMERO DE ARTÍCULO (SAP)],CAT_MOD_v31[COLOR],"",0)</f>
        <v>Gris</v>
      </c>
      <c r="G401" s="2">
        <f>_xlfn.XLOOKUP(Cat_SKU[[#This Row],[Item]],CAT_MOD_v31[NÚMERO DE ARTÍCULO (SAP)],CAT_MOD_v31[AÑO],"",0)</f>
        <v>2025</v>
      </c>
    </row>
    <row r="402" spans="1:7" x14ac:dyDescent="0.35">
      <c r="A402" t="s">
        <v>587</v>
      </c>
      <c r="B402" s="1" t="s">
        <v>607</v>
      </c>
      <c r="D402" t="s">
        <v>667</v>
      </c>
      <c r="E402" s="2" t="str">
        <f>_xlfn.XLOOKUP(Cat_SKU[[#This Row],[Item]],CAT_MOD_v31[NÚMERO DE ARTÍCULO (SAP)],CAT_MOD_v31[RESUMIDO],"",0)</f>
        <v>Pulsar NS125 UG</v>
      </c>
      <c r="F402" s="2" t="str">
        <f>_xlfn.XLOOKUP(Cat_SKU[[#This Row],[Item]],CAT_MOD_v31[NÚMERO DE ARTÍCULO (SAP)],CAT_MOD_v31[COLOR],"",0)</f>
        <v>Naranja</v>
      </c>
      <c r="G402" s="2">
        <f>_xlfn.XLOOKUP(Cat_SKU[[#This Row],[Item]],CAT_MOD_v31[NÚMERO DE ARTÍCULO (SAP)],CAT_MOD_v31[AÑO],"",0)</f>
        <v>2025</v>
      </c>
    </row>
    <row r="403" spans="1:7" x14ac:dyDescent="0.35">
      <c r="A403" t="s">
        <v>587</v>
      </c>
      <c r="B403" s="1" t="s">
        <v>625</v>
      </c>
      <c r="D403" t="s">
        <v>682</v>
      </c>
      <c r="E403" s="2" t="str">
        <f>_xlfn.XLOOKUP(Cat_SKU[[#This Row],[Item]],CAT_MOD_v31[NÚMERO DE ARTÍCULO (SAP)],CAT_MOD_v31[RESUMIDO],"",0)</f>
        <v>Pulsar NS160</v>
      </c>
      <c r="F403" s="2" t="str">
        <f>_xlfn.XLOOKUP(Cat_SKU[[#This Row],[Item]],CAT_MOD_v31[NÚMERO DE ARTÍCULO (SAP)],CAT_MOD_v31[COLOR],"",0)</f>
        <v>Blanco</v>
      </c>
      <c r="G403" s="2">
        <f>_xlfn.XLOOKUP(Cat_SKU[[#This Row],[Item]],CAT_MOD_v31[NÚMERO DE ARTÍCULO (SAP)],CAT_MOD_v31[AÑO],"",0)</f>
        <v>2025</v>
      </c>
    </row>
    <row r="404" spans="1:7" x14ac:dyDescent="0.35">
      <c r="A404" t="s">
        <v>587</v>
      </c>
      <c r="B404" s="1" t="s">
        <v>608</v>
      </c>
      <c r="D404" t="s">
        <v>668</v>
      </c>
      <c r="E404" s="2" t="str">
        <f>_xlfn.XLOOKUP(Cat_SKU[[#This Row],[Item]],CAT_MOD_v31[NÚMERO DE ARTÍCULO (SAP)],CAT_MOD_v31[RESUMIDO],"",0)</f>
        <v>Pulsar NS160 UG</v>
      </c>
      <c r="F404" s="2" t="str">
        <f>_xlfn.XLOOKUP(Cat_SKU[[#This Row],[Item]],CAT_MOD_v31[NÚMERO DE ARTÍCULO (SAP)],CAT_MOD_v31[COLOR],"",0)</f>
        <v>Gris</v>
      </c>
      <c r="G404" s="2">
        <f>_xlfn.XLOOKUP(Cat_SKU[[#This Row],[Item]],CAT_MOD_v31[NÚMERO DE ARTÍCULO (SAP)],CAT_MOD_v31[AÑO],"",0)</f>
        <v>2025</v>
      </c>
    </row>
    <row r="405" spans="1:7" x14ac:dyDescent="0.35">
      <c r="A405" t="s">
        <v>587</v>
      </c>
      <c r="B405" s="1" t="s">
        <v>609</v>
      </c>
      <c r="D405" t="s">
        <v>669</v>
      </c>
      <c r="E405" s="2" t="str">
        <f>_xlfn.XLOOKUP(Cat_SKU[[#This Row],[Item]],CAT_MOD_v31[NÚMERO DE ARTÍCULO (SAP)],CAT_MOD_v31[RESUMIDO],"",0)</f>
        <v>Pulsar NS160 UG</v>
      </c>
      <c r="F405" s="2" t="str">
        <f>_xlfn.XLOOKUP(Cat_SKU[[#This Row],[Item]],CAT_MOD_v31[NÚMERO DE ARTÍCULO (SAP)],CAT_MOD_v31[COLOR],"",0)</f>
        <v>Negro</v>
      </c>
      <c r="G405" s="2">
        <f>_xlfn.XLOOKUP(Cat_SKU[[#This Row],[Item]],CAT_MOD_v31[NÚMERO DE ARTÍCULO (SAP)],CAT_MOD_v31[AÑO],"",0)</f>
        <v>2025</v>
      </c>
    </row>
    <row r="406" spans="1:7" x14ac:dyDescent="0.35">
      <c r="A406" t="s">
        <v>587</v>
      </c>
      <c r="B406" s="1" t="s">
        <v>610</v>
      </c>
      <c r="D406" t="s">
        <v>670</v>
      </c>
      <c r="E406" s="2" t="str">
        <f>_xlfn.XLOOKUP(Cat_SKU[[#This Row],[Item]],CAT_MOD_v31[NÚMERO DE ARTÍCULO (SAP)],CAT_MOD_v31[RESUMIDO],"",0)</f>
        <v>Pulsar NS160 UG</v>
      </c>
      <c r="F406" s="2" t="str">
        <f>_xlfn.XLOOKUP(Cat_SKU[[#This Row],[Item]],CAT_MOD_v31[NÚMERO DE ARTÍCULO (SAP)],CAT_MOD_v31[COLOR],"",0)</f>
        <v>Perla</v>
      </c>
      <c r="G406" s="2">
        <f>_xlfn.XLOOKUP(Cat_SKU[[#This Row],[Item]],CAT_MOD_v31[NÚMERO DE ARTÍCULO (SAP)],CAT_MOD_v31[AÑO],"",0)</f>
        <v>2025</v>
      </c>
    </row>
    <row r="407" spans="1:7" x14ac:dyDescent="0.35">
      <c r="A407" t="s">
        <v>587</v>
      </c>
      <c r="B407" s="1" t="s">
        <v>624</v>
      </c>
      <c r="D407" t="s">
        <v>681</v>
      </c>
      <c r="E407" s="2" t="str">
        <f>_xlfn.XLOOKUP(Cat_SKU[[#This Row],[Item]],CAT_MOD_v31[NÚMERO DE ARTÍCULO (SAP)],CAT_MOD_v31[RESUMIDO],"",0)</f>
        <v/>
      </c>
      <c r="F407" s="2" t="str">
        <f>_xlfn.XLOOKUP(Cat_SKU[[#This Row],[Item]],CAT_MOD_v31[NÚMERO DE ARTÍCULO (SAP)],CAT_MOD_v31[COLOR],"",0)</f>
        <v/>
      </c>
      <c r="G407" s="2" t="str">
        <f>_xlfn.XLOOKUP(Cat_SKU[[#This Row],[Item]],CAT_MOD_v31[NÚMERO DE ARTÍCULO (SAP)],CAT_MOD_v31[AÑO],"",0)</f>
        <v/>
      </c>
    </row>
    <row r="408" spans="1:7" x14ac:dyDescent="0.35">
      <c r="A408" t="s">
        <v>587</v>
      </c>
      <c r="B408" s="1" t="s">
        <v>611</v>
      </c>
      <c r="D408" t="s">
        <v>671</v>
      </c>
      <c r="E408" s="2" t="str">
        <f>_xlfn.XLOOKUP(Cat_SKU[[#This Row],[Item]],CAT_MOD_v31[NÚMERO DE ARTÍCULO (SAP)],CAT_MOD_v31[RESUMIDO],"",0)</f>
        <v>Pulsar NS200 UG</v>
      </c>
      <c r="F408" s="2" t="str">
        <f>_xlfn.XLOOKUP(Cat_SKU[[#This Row],[Item]],CAT_MOD_v31[NÚMERO DE ARTÍCULO (SAP)],CAT_MOD_v31[COLOR],"",0)</f>
        <v>Gris</v>
      </c>
      <c r="G408" s="2">
        <f>_xlfn.XLOOKUP(Cat_SKU[[#This Row],[Item]],CAT_MOD_v31[NÚMERO DE ARTÍCULO (SAP)],CAT_MOD_v31[AÑO],"",0)</f>
        <v>2025</v>
      </c>
    </row>
    <row r="409" spans="1:7" x14ac:dyDescent="0.35">
      <c r="A409" t="s">
        <v>587</v>
      </c>
      <c r="B409" s="1" t="s">
        <v>612</v>
      </c>
      <c r="D409" t="s">
        <v>672</v>
      </c>
      <c r="E409" s="2" t="str">
        <f>_xlfn.XLOOKUP(Cat_SKU[[#This Row],[Item]],CAT_MOD_v31[NÚMERO DE ARTÍCULO (SAP)],CAT_MOD_v31[RESUMIDO],"",0)</f>
        <v>Pulsar NS200 UG</v>
      </c>
      <c r="F409" s="2" t="str">
        <f>_xlfn.XLOOKUP(Cat_SKU[[#This Row],[Item]],CAT_MOD_v31[NÚMERO DE ARTÍCULO (SAP)],CAT_MOD_v31[COLOR],"",0)</f>
        <v>Negro</v>
      </c>
      <c r="G409" s="2">
        <f>_xlfn.XLOOKUP(Cat_SKU[[#This Row],[Item]],CAT_MOD_v31[NÚMERO DE ARTÍCULO (SAP)],CAT_MOD_v31[AÑO],"",0)</f>
        <v>2025</v>
      </c>
    </row>
    <row r="410" spans="1:7" x14ac:dyDescent="0.35">
      <c r="A410" t="s">
        <v>587</v>
      </c>
      <c r="B410" s="1" t="s">
        <v>613</v>
      </c>
      <c r="D410" t="s">
        <v>673</v>
      </c>
      <c r="E410" s="2" t="str">
        <f>_xlfn.XLOOKUP(Cat_SKU[[#This Row],[Item]],CAT_MOD_v31[NÚMERO DE ARTÍCULO (SAP)],CAT_MOD_v31[RESUMIDO],"",0)</f>
        <v>Pulsar NS200 UG</v>
      </c>
      <c r="F410" s="2" t="str">
        <f>_xlfn.XLOOKUP(Cat_SKU[[#This Row],[Item]],CAT_MOD_v31[NÚMERO DE ARTÍCULO (SAP)],CAT_MOD_v31[COLOR],"",0)</f>
        <v>Perla</v>
      </c>
      <c r="G410" s="2">
        <f>_xlfn.XLOOKUP(Cat_SKU[[#This Row],[Item]],CAT_MOD_v31[NÚMERO DE ARTÍCULO (SAP)],CAT_MOD_v31[AÑO],"",0)</f>
        <v>2025</v>
      </c>
    </row>
    <row r="411" spans="1:7" x14ac:dyDescent="0.35">
      <c r="A411" t="s">
        <v>587</v>
      </c>
      <c r="B411" s="1" t="s">
        <v>614</v>
      </c>
      <c r="D411" t="s">
        <v>674</v>
      </c>
      <c r="E411" s="2" t="str">
        <f>_xlfn.XLOOKUP(Cat_SKU[[#This Row],[Item]],CAT_MOD_v31[NÚMERO DE ARTÍCULO (SAP)],CAT_MOD_v31[RESUMIDO],"",0)</f>
        <v>Pulsar NS200 UG</v>
      </c>
      <c r="F411" s="2" t="str">
        <f>_xlfn.XLOOKUP(Cat_SKU[[#This Row],[Item]],CAT_MOD_v31[NÚMERO DE ARTÍCULO (SAP)],CAT_MOD_v31[COLOR],"",0)</f>
        <v>Rojo</v>
      </c>
      <c r="G411" s="2">
        <f>_xlfn.XLOOKUP(Cat_SKU[[#This Row],[Item]],CAT_MOD_v31[NÚMERO DE ARTÍCULO (SAP)],CAT_MOD_v31[AÑO],"",0)</f>
        <v>2025</v>
      </c>
    </row>
    <row r="412" spans="1:7" x14ac:dyDescent="0.35">
      <c r="A412" t="s">
        <v>587</v>
      </c>
      <c r="B412" s="1" t="s">
        <v>623</v>
      </c>
      <c r="D412" t="s">
        <v>680</v>
      </c>
      <c r="E412" s="2" t="str">
        <f>_xlfn.XLOOKUP(Cat_SKU[[#This Row],[Item]],CAT_MOD_v31[NÚMERO DE ARTÍCULO (SAP)],CAT_MOD_v31[RESUMIDO],"",0)</f>
        <v>Pulsar NS400z</v>
      </c>
      <c r="F412" s="2" t="str">
        <f>_xlfn.XLOOKUP(Cat_SKU[[#This Row],[Item]],CAT_MOD_v31[NÚMERO DE ARTÍCULO (SAP)],CAT_MOD_v31[COLOR],"",0)</f>
        <v>Blanco</v>
      </c>
      <c r="G412" s="2">
        <f>_xlfn.XLOOKUP(Cat_SKU[[#This Row],[Item]],CAT_MOD_v31[NÚMERO DE ARTÍCULO (SAP)],CAT_MOD_v31[AÑO],"",0)</f>
        <v>2025</v>
      </c>
    </row>
    <row r="413" spans="1:7" x14ac:dyDescent="0.35">
      <c r="A413" t="s">
        <v>587</v>
      </c>
      <c r="B413" s="1" t="s">
        <v>615</v>
      </c>
      <c r="D413" t="s">
        <v>583</v>
      </c>
      <c r="E413" s="2" t="str">
        <f>_xlfn.XLOOKUP(Cat_SKU[[#This Row],[Item]],CAT_MOD_v31[NÚMERO DE ARTÍCULO (SAP)],CAT_MOD_v31[RESUMIDO],"",0)</f>
        <v>Pulsar NS400z</v>
      </c>
      <c r="F413" s="2" t="str">
        <f>_xlfn.XLOOKUP(Cat_SKU[[#This Row],[Item]],CAT_MOD_v31[NÚMERO DE ARTÍCULO (SAP)],CAT_MOD_v31[COLOR],"",0)</f>
        <v>Gris</v>
      </c>
      <c r="G413" s="2">
        <f>_xlfn.XLOOKUP(Cat_SKU[[#This Row],[Item]],CAT_MOD_v31[NÚMERO DE ARTÍCULO (SAP)],CAT_MOD_v31[AÑO],"",0)</f>
        <v>2025</v>
      </c>
    </row>
    <row r="414" spans="1:7" x14ac:dyDescent="0.35">
      <c r="A414" t="s">
        <v>587</v>
      </c>
      <c r="B414" s="1" t="s">
        <v>616</v>
      </c>
      <c r="D414" t="s">
        <v>675</v>
      </c>
      <c r="E414" s="2" t="str">
        <f>_xlfn.XLOOKUP(Cat_SKU[[#This Row],[Item]],CAT_MOD_v31[NÚMERO DE ARTÍCULO (SAP)],CAT_MOD_v31[RESUMIDO],"",0)</f>
        <v>Pulsar NS400z</v>
      </c>
      <c r="F414" s="2" t="str">
        <f>_xlfn.XLOOKUP(Cat_SKU[[#This Row],[Item]],CAT_MOD_v31[NÚMERO DE ARTÍCULO (SAP)],CAT_MOD_v31[COLOR],"",0)</f>
        <v>Negro</v>
      </c>
      <c r="G414" s="2">
        <f>_xlfn.XLOOKUP(Cat_SKU[[#This Row],[Item]],CAT_MOD_v31[NÚMERO DE ARTÍCULO (SAP)],CAT_MOD_v31[AÑO],"",0)</f>
        <v>2025</v>
      </c>
    </row>
    <row r="415" spans="1:7" x14ac:dyDescent="0.35">
      <c r="A415" t="s">
        <v>587</v>
      </c>
      <c r="B415" s="1" t="s">
        <v>632</v>
      </c>
      <c r="D415" t="s">
        <v>684</v>
      </c>
      <c r="E415" s="2" t="str">
        <f>_xlfn.XLOOKUP(Cat_SKU[[#This Row],[Item]],CAT_MOD_v31[NÚMERO DE ARTÍCULO (SAP)],CAT_MOD_v31[RESUMIDO],"",0)</f>
        <v>Pulsar NS400z</v>
      </c>
      <c r="F415" s="2" t="str">
        <f>_xlfn.XLOOKUP(Cat_SKU[[#This Row],[Item]],CAT_MOD_v31[NÚMERO DE ARTÍCULO (SAP)],CAT_MOD_v31[COLOR],"",0)</f>
        <v>Negro</v>
      </c>
      <c r="G415" s="2">
        <f>_xlfn.XLOOKUP(Cat_SKU[[#This Row],[Item]],CAT_MOD_v31[NÚMERO DE ARTÍCULO (SAP)],CAT_MOD_v31[AÑO],"",0)</f>
        <v>2026</v>
      </c>
    </row>
    <row r="416" spans="1:7" x14ac:dyDescent="0.35">
      <c r="A416" t="s">
        <v>587</v>
      </c>
      <c r="B416" s="1" t="s">
        <v>617</v>
      </c>
      <c r="D416" t="s">
        <v>676</v>
      </c>
      <c r="E416" s="2" t="str">
        <f>_xlfn.XLOOKUP(Cat_SKU[[#This Row],[Item]],CAT_MOD_v31[NÚMERO DE ARTÍCULO (SAP)],CAT_MOD_v31[RESUMIDO],"",0)</f>
        <v>Pulsar NS400z</v>
      </c>
      <c r="F416" s="2" t="str">
        <f>_xlfn.XLOOKUP(Cat_SKU[[#This Row],[Item]],CAT_MOD_v31[NÚMERO DE ARTÍCULO (SAP)],CAT_MOD_v31[COLOR],"",0)</f>
        <v>Rojo</v>
      </c>
      <c r="G416" s="2">
        <f>_xlfn.XLOOKUP(Cat_SKU[[#This Row],[Item]],CAT_MOD_v31[NÚMERO DE ARTÍCULO (SAP)],CAT_MOD_v31[AÑO],"",0)</f>
        <v>2025</v>
      </c>
    </row>
    <row r="417" spans="1:7" x14ac:dyDescent="0.35">
      <c r="A417" t="s">
        <v>587</v>
      </c>
      <c r="B417" s="1" t="s">
        <v>649</v>
      </c>
      <c r="D417" t="s">
        <v>280</v>
      </c>
      <c r="E417" s="2" t="str">
        <f>_xlfn.XLOOKUP(Cat_SKU[[#This Row],[Item]],CAT_MOD_v31[NÚMERO DE ARTÍCULO (SAP)],CAT_MOD_v31[RESUMIDO],"",0)</f>
        <v>Pulsar NS400z</v>
      </c>
      <c r="F417" s="2" t="str">
        <f>_xlfn.XLOOKUP(Cat_SKU[[#This Row],[Item]],CAT_MOD_v31[NÚMERO DE ARTÍCULO (SAP)],CAT_MOD_v31[COLOR],"",0)</f>
        <v>Gris</v>
      </c>
      <c r="G417" s="2">
        <f>_xlfn.XLOOKUP(Cat_SKU[[#This Row],[Item]],CAT_MOD_v31[NÚMERO DE ARTÍCULO (SAP)],CAT_MOD_v31[AÑO],"",0)</f>
        <v>2025</v>
      </c>
    </row>
    <row r="418" spans="1:7" x14ac:dyDescent="0.35">
      <c r="A418" t="s">
        <v>587</v>
      </c>
      <c r="B418" s="1" t="s">
        <v>640</v>
      </c>
      <c r="D418" t="s">
        <v>258</v>
      </c>
      <c r="E418" s="2" t="str">
        <f>_xlfn.XLOOKUP(Cat_SKU[[#This Row],[Item]],CAT_MOD_v31[NÚMERO DE ARTÍCULO (SAP)],CAT_MOD_v31[RESUMIDO],"",0)</f>
        <v>Dominar 400</v>
      </c>
      <c r="F418" s="2" t="str">
        <f>_xlfn.XLOOKUP(Cat_SKU[[#This Row],[Item]],CAT_MOD_v31[NÚMERO DE ARTÍCULO (SAP)],CAT_MOD_v31[COLOR],"",0)</f>
        <v>Negro</v>
      </c>
      <c r="G418" s="2">
        <f>_xlfn.XLOOKUP(Cat_SKU[[#This Row],[Item]],CAT_MOD_v31[NÚMERO DE ARTÍCULO (SAP)],CAT_MOD_v31[AÑO],"",0)</f>
        <v>2025</v>
      </c>
    </row>
    <row r="419" spans="1:7" x14ac:dyDescent="0.35">
      <c r="A419" t="s">
        <v>587</v>
      </c>
      <c r="B419" s="1" t="s">
        <v>643</v>
      </c>
      <c r="D419" t="s">
        <v>688</v>
      </c>
      <c r="E419" s="2" t="str">
        <f>_xlfn.XLOOKUP(Cat_SKU[[#This Row],[Item]],CAT_MOD_v31[NÚMERO DE ARTÍCULO (SAP)],CAT_MOD_v31[RESUMIDO],"",0)</f>
        <v>Pulsar NS400z</v>
      </c>
      <c r="F419" s="2" t="str">
        <f>_xlfn.XLOOKUP(Cat_SKU[[#This Row],[Item]],CAT_MOD_v31[NÚMERO DE ARTÍCULO (SAP)],CAT_MOD_v31[COLOR],"",0)</f>
        <v>Perla</v>
      </c>
      <c r="G419" s="2">
        <f>_xlfn.XLOOKUP(Cat_SKU[[#This Row],[Item]],CAT_MOD_v31[NÚMERO DE ARTÍCULO (SAP)],CAT_MOD_v31[AÑO],"",0)</f>
        <v>2025</v>
      </c>
    </row>
    <row r="420" spans="1:7" x14ac:dyDescent="0.35">
      <c r="A420" t="s">
        <v>587</v>
      </c>
      <c r="B420" s="1" t="s">
        <v>642</v>
      </c>
      <c r="D420" t="s">
        <v>676</v>
      </c>
      <c r="E420" s="2" t="str">
        <f>_xlfn.XLOOKUP(Cat_SKU[[#This Row],[Item]],CAT_MOD_v31[NÚMERO DE ARTÍCULO (SAP)],CAT_MOD_v31[RESUMIDO],"",0)</f>
        <v>Pulsar NS400z</v>
      </c>
      <c r="F420" s="2" t="str">
        <f>_xlfn.XLOOKUP(Cat_SKU[[#This Row],[Item]],CAT_MOD_v31[NÚMERO DE ARTÍCULO (SAP)],CAT_MOD_v31[COLOR],"",0)</f>
        <v>Rojo</v>
      </c>
      <c r="G420" s="2">
        <f>_xlfn.XLOOKUP(Cat_SKU[[#This Row],[Item]],CAT_MOD_v31[NÚMERO DE ARTÍCULO (SAP)],CAT_MOD_v31[AÑO],"",0)</f>
        <v>2025</v>
      </c>
    </row>
    <row r="421" spans="1:7" x14ac:dyDescent="0.35">
      <c r="A421" t="s">
        <v>587</v>
      </c>
      <c r="B421" s="1" t="s">
        <v>629</v>
      </c>
      <c r="D421" t="s">
        <v>281</v>
      </c>
      <c r="E421" s="2" t="str">
        <f>_xlfn.XLOOKUP(Cat_SKU[[#This Row],[Item]],CAT_MOD_v31[NÚMERO DE ARTÍCULO (SAP)],CAT_MOD_v31[RESUMIDO],"",0)</f>
        <v>Pulsar NS400z</v>
      </c>
      <c r="F421" s="2" t="str">
        <f>_xlfn.XLOOKUP(Cat_SKU[[#This Row],[Item]],CAT_MOD_v31[NÚMERO DE ARTÍCULO (SAP)],CAT_MOD_v31[COLOR],"",0)</f>
        <v>Perla</v>
      </c>
      <c r="G421" s="2">
        <f>_xlfn.XLOOKUP(Cat_SKU[[#This Row],[Item]],CAT_MOD_v31[NÚMERO DE ARTÍCULO (SAP)],CAT_MOD_v31[AÑO],"",0)</f>
        <v>2025</v>
      </c>
    </row>
    <row r="422" spans="1:7" x14ac:dyDescent="0.35">
      <c r="A422" t="s">
        <v>587</v>
      </c>
      <c r="B422" s="1" t="s">
        <v>621</v>
      </c>
      <c r="D422" t="s">
        <v>679</v>
      </c>
      <c r="E422" s="2" t="str">
        <f>_xlfn.XLOOKUP(Cat_SKU[[#This Row],[Item]],CAT_MOD_v31[NÚMERO DE ARTÍCULO (SAP)],CAT_MOD_v31[RESUMIDO],"",0)</f>
        <v>Pulsar RS200</v>
      </c>
      <c r="F422" s="2" t="str">
        <f>_xlfn.XLOOKUP(Cat_SKU[[#This Row],[Item]],CAT_MOD_v31[NÚMERO DE ARTÍCULO (SAP)],CAT_MOD_v31[COLOR],"",0)</f>
        <v>Blanco</v>
      </c>
      <c r="G422" s="2">
        <f>_xlfn.XLOOKUP(Cat_SKU[[#This Row],[Item]],CAT_MOD_v31[NÚMERO DE ARTÍCULO (SAP)],CAT_MOD_v31[AÑO],"",0)</f>
        <v>2025</v>
      </c>
    </row>
    <row r="423" spans="1:7" x14ac:dyDescent="0.35">
      <c r="A423" t="s">
        <v>587</v>
      </c>
      <c r="B423" s="1" t="s">
        <v>619</v>
      </c>
      <c r="D423" t="s">
        <v>677</v>
      </c>
      <c r="E423" s="2" t="str">
        <f>_xlfn.XLOOKUP(Cat_SKU[[#This Row],[Item]],CAT_MOD_v31[NÚMERO DE ARTÍCULO (SAP)],CAT_MOD_v31[RESUMIDO],"",0)</f>
        <v>Pulsar RS200</v>
      </c>
      <c r="F423" s="2" t="str">
        <f>_xlfn.XLOOKUP(Cat_SKU[[#This Row],[Item]],CAT_MOD_v31[NÚMERO DE ARTÍCULO (SAP)],CAT_MOD_v31[COLOR],"",0)</f>
        <v>Gris</v>
      </c>
      <c r="G423" s="2">
        <f>_xlfn.XLOOKUP(Cat_SKU[[#This Row],[Item]],CAT_MOD_v31[NÚMERO DE ARTÍCULO (SAP)],CAT_MOD_v31[AÑO],"",0)</f>
        <v>2025</v>
      </c>
    </row>
    <row r="424" spans="1:7" x14ac:dyDescent="0.35">
      <c r="A424" t="s">
        <v>587</v>
      </c>
      <c r="B424" s="1" t="s">
        <v>635</v>
      </c>
      <c r="D424" t="s">
        <v>685</v>
      </c>
      <c r="E424" s="2" t="str">
        <f>_xlfn.XLOOKUP(Cat_SKU[[#This Row],[Item]],CAT_MOD_v31[NÚMERO DE ARTÍCULO (SAP)],CAT_MOD_v31[RESUMIDO],"",0)</f>
        <v/>
      </c>
      <c r="F424" s="2" t="str">
        <f>_xlfn.XLOOKUP(Cat_SKU[[#This Row],[Item]],CAT_MOD_v31[NÚMERO DE ARTÍCULO (SAP)],CAT_MOD_v31[COLOR],"",0)</f>
        <v/>
      </c>
      <c r="G424" s="2" t="str">
        <f>_xlfn.XLOOKUP(Cat_SKU[[#This Row],[Item]],CAT_MOD_v31[NÚMERO DE ARTÍCULO (SAP)],CAT_MOD_v31[AÑO],"",0)</f>
        <v/>
      </c>
    </row>
    <row r="425" spans="1:7" x14ac:dyDescent="0.35">
      <c r="A425" t="s">
        <v>587</v>
      </c>
      <c r="B425" s="1" t="s">
        <v>634</v>
      </c>
      <c r="D425" t="s">
        <v>287</v>
      </c>
      <c r="E425" s="2" t="str">
        <f>_xlfn.XLOOKUP(Cat_SKU[[#This Row],[Item]],CAT_MOD_v31[NÚMERO DE ARTÍCULO (SAP)],CAT_MOD_v31[RESUMIDO],"",0)</f>
        <v>Pulsar RS200</v>
      </c>
      <c r="F425" s="2" t="str">
        <f>_xlfn.XLOOKUP(Cat_SKU[[#This Row],[Item]],CAT_MOD_v31[NÚMERO DE ARTÍCULO (SAP)],CAT_MOD_v31[COLOR],"",0)</f>
        <v>Perla</v>
      </c>
      <c r="G425" s="2">
        <f>_xlfn.XLOOKUP(Cat_SKU[[#This Row],[Item]],CAT_MOD_v31[NÚMERO DE ARTÍCULO (SAP)],CAT_MOD_v31[AÑO],"",0)</f>
        <v>2025</v>
      </c>
    </row>
    <row r="426" spans="1:7" x14ac:dyDescent="0.35">
      <c r="A426" t="s">
        <v>587</v>
      </c>
      <c r="B426" s="1" t="s">
        <v>622</v>
      </c>
      <c r="D426" t="s">
        <v>679</v>
      </c>
      <c r="E426" s="2" t="str">
        <f>_xlfn.XLOOKUP(Cat_SKU[[#This Row],[Item]],CAT_MOD_v31[NÚMERO DE ARTÍCULO (SAP)],CAT_MOD_v31[RESUMIDO],"",0)</f>
        <v>Pulsar RS200</v>
      </c>
      <c r="F426" s="2" t="str">
        <f>_xlfn.XLOOKUP(Cat_SKU[[#This Row],[Item]],CAT_MOD_v31[NÚMERO DE ARTÍCULO (SAP)],CAT_MOD_v31[COLOR],"",0)</f>
        <v>Blanco</v>
      </c>
      <c r="G426" s="2">
        <f>_xlfn.XLOOKUP(Cat_SKU[[#This Row],[Item]],CAT_MOD_v31[NÚMERO DE ARTÍCULO (SAP)],CAT_MOD_v31[AÑO],"",0)</f>
        <v>2025</v>
      </c>
    </row>
    <row r="427" spans="1:7" x14ac:dyDescent="0.35">
      <c r="A427" t="s">
        <v>587</v>
      </c>
      <c r="B427" s="1" t="s">
        <v>618</v>
      </c>
      <c r="D427" t="s">
        <v>677</v>
      </c>
      <c r="E427" s="2" t="str">
        <f>_xlfn.XLOOKUP(Cat_SKU[[#This Row],[Item]],CAT_MOD_v31[NÚMERO DE ARTÍCULO (SAP)],CAT_MOD_v31[RESUMIDO],"",0)</f>
        <v>Pulsar RS200</v>
      </c>
      <c r="F427" s="2" t="str">
        <f>_xlfn.XLOOKUP(Cat_SKU[[#This Row],[Item]],CAT_MOD_v31[NÚMERO DE ARTÍCULO (SAP)],CAT_MOD_v31[COLOR],"",0)</f>
        <v>Gris</v>
      </c>
      <c r="G427" s="2">
        <f>_xlfn.XLOOKUP(Cat_SKU[[#This Row],[Item]],CAT_MOD_v31[NÚMERO DE ARTÍCULO (SAP)],CAT_MOD_v31[AÑO],"",0)</f>
        <v>2025</v>
      </c>
    </row>
    <row r="428" spans="1:7" x14ac:dyDescent="0.35">
      <c r="A428" t="s">
        <v>587</v>
      </c>
      <c r="B428" s="1" t="s">
        <v>620</v>
      </c>
      <c r="D428" t="s">
        <v>678</v>
      </c>
      <c r="E428" s="2" t="str">
        <f>_xlfn.XLOOKUP(Cat_SKU[[#This Row],[Item]],CAT_MOD_v31[NÚMERO DE ARTÍCULO (SAP)],CAT_MOD_v31[RESUMIDO],"",0)</f>
        <v>Pulsar RS200</v>
      </c>
      <c r="F428" s="2" t="str">
        <f>_xlfn.XLOOKUP(Cat_SKU[[#This Row],[Item]],CAT_MOD_v31[NÚMERO DE ARTÍCULO (SAP)],CAT_MOD_v31[COLOR],"",0)</f>
        <v>Perla</v>
      </c>
      <c r="G428" s="2">
        <f>_xlfn.XLOOKUP(Cat_SKU[[#This Row],[Item]],CAT_MOD_v31[NÚMERO DE ARTÍCULO (SAP)],CAT_MOD_v31[AÑO],"",0)</f>
        <v>2025</v>
      </c>
    </row>
    <row r="429" spans="1:7" x14ac:dyDescent="0.35">
      <c r="A429" t="s">
        <v>587</v>
      </c>
      <c r="B429" s="1" t="s">
        <v>636</v>
      </c>
      <c r="D429" t="s">
        <v>687</v>
      </c>
      <c r="E429" s="2" t="str">
        <f>_xlfn.XLOOKUP(Cat_SKU[[#This Row],[Item]],CAT_MOD_v31[NÚMERO DE ARTÍCULO (SAP)],CAT_MOD_v31[RESUMIDO],"",0)</f>
        <v/>
      </c>
      <c r="F429" s="2" t="str">
        <f>_xlfn.XLOOKUP(Cat_SKU[[#This Row],[Item]],CAT_MOD_v31[NÚMERO DE ARTÍCULO (SAP)],CAT_MOD_v31[COLOR],"",0)</f>
        <v/>
      </c>
      <c r="G429" s="2" t="str">
        <f>_xlfn.XLOOKUP(Cat_SKU[[#This Row],[Item]],CAT_MOD_v31[NÚMERO DE ARTÍCULO (SAP)],CAT_MOD_v31[AÑO],"",0)</f>
        <v/>
      </c>
    </row>
    <row r="430" spans="1:7" x14ac:dyDescent="0.35">
      <c r="A430" t="s">
        <v>103</v>
      </c>
      <c r="B430" s="1">
        <v>1077436622</v>
      </c>
      <c r="C430" t="s">
        <v>776</v>
      </c>
      <c r="D430" t="s">
        <v>816</v>
      </c>
      <c r="E430" s="2" t="str">
        <f>_xlfn.XLOOKUP(Cat_SKU[[#This Row],[Item]],CAT_MOD_v31[NÚMERO DE ARTÍCULO (SAP)],CAT_MOD_v31[RESUMIDO],"",0)</f>
        <v>Pulsar NS200</v>
      </c>
      <c r="F430" s="2" t="str">
        <f>_xlfn.XLOOKUP(Cat_SKU[[#This Row],[Item]],CAT_MOD_v31[NÚMERO DE ARTÍCULO (SAP)],CAT_MOD_v31[COLOR],"",0)</f>
        <v>Negro</v>
      </c>
      <c r="G430" s="2">
        <f>_xlfn.XLOOKUP(Cat_SKU[[#This Row],[Item]],CAT_MOD_v31[NÚMERO DE ARTÍCULO (SAP)],CAT_MOD_v31[AÑO],"",0)</f>
        <v>2019</v>
      </c>
    </row>
    <row r="431" spans="1:7" x14ac:dyDescent="0.35">
      <c r="A431" t="s">
        <v>103</v>
      </c>
      <c r="B431" s="1">
        <v>1077436665</v>
      </c>
      <c r="C431" t="s">
        <v>146</v>
      </c>
      <c r="D431" t="s">
        <v>381</v>
      </c>
      <c r="E431" s="2" t="str">
        <f>_xlfn.XLOOKUP(Cat_SKU[[#This Row],[Item]],CAT_MOD_v31[NÚMERO DE ARTÍCULO (SAP)],CAT_MOD_v31[RESUMIDO],"",0)</f>
        <v/>
      </c>
      <c r="F431" s="2" t="str">
        <f>_xlfn.XLOOKUP(Cat_SKU[[#This Row],[Item]],CAT_MOD_v31[NÚMERO DE ARTÍCULO (SAP)],CAT_MOD_v31[COLOR],"",0)</f>
        <v/>
      </c>
      <c r="G431" s="2" t="str">
        <f>_xlfn.XLOOKUP(Cat_SKU[[#This Row],[Item]],CAT_MOD_v31[NÚMERO DE ARTÍCULO (SAP)],CAT_MOD_v31[AÑO],"",0)</f>
        <v/>
      </c>
    </row>
    <row r="432" spans="1:7" x14ac:dyDescent="0.35">
      <c r="A432" t="s">
        <v>103</v>
      </c>
      <c r="B432" s="1">
        <v>1077436665</v>
      </c>
      <c r="C432" t="s">
        <v>777</v>
      </c>
      <c r="D432" t="s">
        <v>815</v>
      </c>
      <c r="E432" s="2" t="str">
        <f>_xlfn.XLOOKUP(Cat_SKU[[#This Row],[Item]],CAT_MOD_v31[NÚMERO DE ARTÍCULO (SAP)],CAT_MOD_v31[RESUMIDO],"",0)</f>
        <v>Pulsar NS160</v>
      </c>
      <c r="F432" s="2" t="str">
        <f>_xlfn.XLOOKUP(Cat_SKU[[#This Row],[Item]],CAT_MOD_v31[NÚMERO DE ARTÍCULO (SAP)],CAT_MOD_v31[COLOR],"",0)</f>
        <v>Blanco</v>
      </c>
      <c r="G432" s="2">
        <f>_xlfn.XLOOKUP(Cat_SKU[[#This Row],[Item]],CAT_MOD_v31[NÚMERO DE ARTÍCULO (SAP)],CAT_MOD_v31[AÑO],"",0)</f>
        <v>2019</v>
      </c>
    </row>
    <row r="433" spans="1:7" x14ac:dyDescent="0.35">
      <c r="A433" t="s">
        <v>103</v>
      </c>
      <c r="B433" s="1">
        <v>1109002522</v>
      </c>
      <c r="D433" t="s">
        <v>373</v>
      </c>
      <c r="E433" s="2" t="str">
        <f>_xlfn.XLOOKUP(Cat_SKU[[#This Row],[Item]],CAT_MOD_v31[NÚMERO DE ARTÍCULO (SAP)],CAT_MOD_v31[RESUMIDO],"",0)</f>
        <v>Pulsar NS200</v>
      </c>
      <c r="F433" s="2" t="str">
        <f>_xlfn.XLOOKUP(Cat_SKU[[#This Row],[Item]],CAT_MOD_v31[NÚMERO DE ARTÍCULO (SAP)],CAT_MOD_v31[COLOR],"",0)</f>
        <v>Blanco</v>
      </c>
      <c r="G433" s="2">
        <f>_xlfn.XLOOKUP(Cat_SKU[[#This Row],[Item]],CAT_MOD_v31[NÚMERO DE ARTÍCULO (SAP)],CAT_MOD_v31[AÑO],"",0)</f>
        <v>2022</v>
      </c>
    </row>
    <row r="434" spans="1:7" x14ac:dyDescent="0.35">
      <c r="A434" t="s">
        <v>103</v>
      </c>
      <c r="B434" s="1">
        <v>1111861974</v>
      </c>
      <c r="D434" t="s">
        <v>378</v>
      </c>
      <c r="E434" s="2" t="str">
        <f>_xlfn.XLOOKUP(Cat_SKU[[#This Row],[Item]],CAT_MOD_v31[NÚMERO DE ARTÍCULO (SAP)],CAT_MOD_v31[RESUMIDO],"",0)</f>
        <v>Dominar 400</v>
      </c>
      <c r="F434" s="2" t="str">
        <f>_xlfn.XLOOKUP(Cat_SKU[[#This Row],[Item]],CAT_MOD_v31[NÚMERO DE ARTÍCULO (SAP)],CAT_MOD_v31[COLOR],"",0)</f>
        <v>Negro</v>
      </c>
      <c r="G434" s="2">
        <f>_xlfn.XLOOKUP(Cat_SKU[[#This Row],[Item]],CAT_MOD_v31[NÚMERO DE ARTÍCULO (SAP)],CAT_MOD_v31[AÑO],"",0)</f>
        <v>2022</v>
      </c>
    </row>
    <row r="435" spans="1:7" x14ac:dyDescent="0.35">
      <c r="A435" t="s">
        <v>103</v>
      </c>
      <c r="B435" s="1">
        <v>1117348837</v>
      </c>
      <c r="D435" t="s">
        <v>377</v>
      </c>
      <c r="E435" s="2" t="str">
        <f>_xlfn.XLOOKUP(Cat_SKU[[#This Row],[Item]],CAT_MOD_v31[NÚMERO DE ARTÍCULO (SAP)],CAT_MOD_v31[RESUMIDO],"",0)</f>
        <v>Pulsar RS200</v>
      </c>
      <c r="F435" s="2" t="str">
        <f>_xlfn.XLOOKUP(Cat_SKU[[#This Row],[Item]],CAT_MOD_v31[NÚMERO DE ARTÍCULO (SAP)],CAT_MOD_v31[COLOR],"",0)</f>
        <v>Negro</v>
      </c>
      <c r="G435" s="2">
        <f>_xlfn.XLOOKUP(Cat_SKU[[#This Row],[Item]],CAT_MOD_v31[NÚMERO DE ARTÍCULO (SAP)],CAT_MOD_v31[AÑO],"",0)</f>
        <v>2022</v>
      </c>
    </row>
    <row r="436" spans="1:7" x14ac:dyDescent="0.35">
      <c r="A436" t="s">
        <v>103</v>
      </c>
      <c r="B436" s="1">
        <v>1120212245</v>
      </c>
      <c r="D436" t="s">
        <v>374</v>
      </c>
      <c r="E436" s="2" t="str">
        <f>_xlfn.XLOOKUP(Cat_SKU[[#This Row],[Item]],CAT_MOD_v31[NÚMERO DE ARTÍCULO (SAP)],CAT_MOD_v31[RESUMIDO],"",0)</f>
        <v>Pulsar NS160</v>
      </c>
      <c r="F436" s="2" t="str">
        <f>_xlfn.XLOOKUP(Cat_SKU[[#This Row],[Item]],CAT_MOD_v31[NÚMERO DE ARTÍCULO (SAP)],CAT_MOD_v31[COLOR],"",0)</f>
        <v>Azul</v>
      </c>
      <c r="G436" s="2">
        <f>_xlfn.XLOOKUP(Cat_SKU[[#This Row],[Item]],CAT_MOD_v31[NÚMERO DE ARTÍCULO (SAP)],CAT_MOD_v31[AÑO],"",0)</f>
        <v>2022</v>
      </c>
    </row>
    <row r="437" spans="1:7" x14ac:dyDescent="0.35">
      <c r="A437" t="s">
        <v>103</v>
      </c>
      <c r="B437" s="1">
        <v>1128410810</v>
      </c>
      <c r="D437" t="s">
        <v>330</v>
      </c>
      <c r="E437" s="2" t="str">
        <f>_xlfn.XLOOKUP(Cat_SKU[[#This Row],[Item]],CAT_MOD_v31[NÚMERO DE ARTÍCULO (SAP)],CAT_MOD_v31[RESUMIDO],"",0)</f>
        <v>Dominar 400</v>
      </c>
      <c r="F437" s="2" t="str">
        <f>_xlfn.XLOOKUP(Cat_SKU[[#This Row],[Item]],CAT_MOD_v31[NÚMERO DE ARTÍCULO (SAP)],CAT_MOD_v31[COLOR],"",0)</f>
        <v>Negro</v>
      </c>
      <c r="G437" s="2">
        <f>_xlfn.XLOOKUP(Cat_SKU[[#This Row],[Item]],CAT_MOD_v31[NÚMERO DE ARTÍCULO (SAP)],CAT_MOD_v31[AÑO],"",0)</f>
        <v>2023</v>
      </c>
    </row>
    <row r="438" spans="1:7" x14ac:dyDescent="0.35">
      <c r="A438" t="s">
        <v>103</v>
      </c>
      <c r="B438" s="1">
        <v>1128411239</v>
      </c>
      <c r="C438" t="s">
        <v>145</v>
      </c>
      <c r="D438" t="s">
        <v>368</v>
      </c>
      <c r="E438" s="2" t="str">
        <f>_xlfn.XLOOKUP(Cat_SKU[[#This Row],[Item]],CAT_MOD_v31[NÚMERO DE ARTÍCULO (SAP)],CAT_MOD_v31[RESUMIDO],"",0)</f>
        <v>Avenger Cruise 220</v>
      </c>
      <c r="F438" s="2" t="str">
        <f>_xlfn.XLOOKUP(Cat_SKU[[#This Row],[Item]],CAT_MOD_v31[NÚMERO DE ARTÍCULO (SAP)],CAT_MOD_v31[COLOR],"",0)</f>
        <v>Negro</v>
      </c>
      <c r="G438" s="2">
        <f>_xlfn.XLOOKUP(Cat_SKU[[#This Row],[Item]],CAT_MOD_v31[NÚMERO DE ARTÍCULO (SAP)],CAT_MOD_v31[AÑO],"",0)</f>
        <v>2023</v>
      </c>
    </row>
    <row r="439" spans="1:7" x14ac:dyDescent="0.35">
      <c r="A439" t="s">
        <v>103</v>
      </c>
      <c r="B439" s="1">
        <v>1128411727</v>
      </c>
      <c r="D439" t="s">
        <v>338</v>
      </c>
      <c r="E439" s="2" t="str">
        <f>_xlfn.XLOOKUP(Cat_SKU[[#This Row],[Item]],CAT_MOD_v31[NÚMERO DE ARTÍCULO (SAP)],CAT_MOD_v31[RESUMIDO],"",0)</f>
        <v>Pulsar LS125</v>
      </c>
      <c r="F439" s="2" t="str">
        <f>_xlfn.XLOOKUP(Cat_SKU[[#This Row],[Item]],CAT_MOD_v31[NÚMERO DE ARTÍCULO (SAP)],CAT_MOD_v31[COLOR],"",0)</f>
        <v>Amarillo</v>
      </c>
      <c r="G439" s="2">
        <f>_xlfn.XLOOKUP(Cat_SKU[[#This Row],[Item]],CAT_MOD_v31[NÚMERO DE ARTÍCULO (SAP)],CAT_MOD_v31[AÑO],"",0)</f>
        <v>2023</v>
      </c>
    </row>
    <row r="440" spans="1:7" x14ac:dyDescent="0.35">
      <c r="A440" t="s">
        <v>103</v>
      </c>
      <c r="B440" s="1">
        <v>1128411735</v>
      </c>
      <c r="D440" t="s">
        <v>315</v>
      </c>
      <c r="E440" s="2" t="str">
        <f>_xlfn.XLOOKUP(Cat_SKU[[#This Row],[Item]],CAT_MOD_v31[NÚMERO DE ARTÍCULO (SAP)],CAT_MOD_v31[RESUMIDO],"",0)</f>
        <v>Pulsar NS160</v>
      </c>
      <c r="F440" s="2" t="str">
        <f>_xlfn.XLOOKUP(Cat_SKU[[#This Row],[Item]],CAT_MOD_v31[NÚMERO DE ARTÍCULO (SAP)],CAT_MOD_v31[COLOR],"",0)</f>
        <v>Negro</v>
      </c>
      <c r="G440" s="2">
        <f>_xlfn.XLOOKUP(Cat_SKU[[#This Row],[Item]],CAT_MOD_v31[NÚMERO DE ARTÍCULO (SAP)],CAT_MOD_v31[AÑO],"",0)</f>
        <v>2023</v>
      </c>
    </row>
    <row r="441" spans="1:7" x14ac:dyDescent="0.35">
      <c r="A441" t="s">
        <v>103</v>
      </c>
      <c r="B441" s="1">
        <v>1128411824</v>
      </c>
      <c r="D441" t="s">
        <v>365</v>
      </c>
      <c r="E441" s="2" t="str">
        <f>_xlfn.XLOOKUP(Cat_SKU[[#This Row],[Item]],CAT_MOD_v31[NÚMERO DE ARTÍCULO (SAP)],CAT_MOD_v31[RESUMIDO],"",0)</f>
        <v>Pulsar NS200</v>
      </c>
      <c r="F441" s="2" t="str">
        <f>_xlfn.XLOOKUP(Cat_SKU[[#This Row],[Item]],CAT_MOD_v31[NÚMERO DE ARTÍCULO (SAP)],CAT_MOD_v31[COLOR],"",0)</f>
        <v>Negro</v>
      </c>
      <c r="G441" s="2">
        <f>_xlfn.XLOOKUP(Cat_SKU[[#This Row],[Item]],CAT_MOD_v31[NÚMERO DE ARTÍCULO (SAP)],CAT_MOD_v31[AÑO],"",0)</f>
        <v>2023</v>
      </c>
    </row>
    <row r="442" spans="1:7" x14ac:dyDescent="0.35">
      <c r="A442" t="s">
        <v>103</v>
      </c>
      <c r="B442" s="1">
        <v>1128445419</v>
      </c>
      <c r="D442" t="s">
        <v>379</v>
      </c>
      <c r="E442" s="2" t="str">
        <f>_xlfn.XLOOKUP(Cat_SKU[[#This Row],[Item]],CAT_MOD_v31[NÚMERO DE ARTÍCULO (SAP)],CAT_MOD_v31[RESUMIDO],"",0)</f>
        <v>Pulsar NS160</v>
      </c>
      <c r="F442" s="2" t="str">
        <f>_xlfn.XLOOKUP(Cat_SKU[[#This Row],[Item]],CAT_MOD_v31[NÚMERO DE ARTÍCULO (SAP)],CAT_MOD_v31[COLOR],"",0)</f>
        <v>Perla</v>
      </c>
      <c r="G442" s="2">
        <f>_xlfn.XLOOKUP(Cat_SKU[[#This Row],[Item]],CAT_MOD_v31[NÚMERO DE ARTÍCULO (SAP)],CAT_MOD_v31[AÑO],"",0)</f>
        <v>2023</v>
      </c>
    </row>
    <row r="443" spans="1:7" x14ac:dyDescent="0.35">
      <c r="A443" t="s">
        <v>103</v>
      </c>
      <c r="B443" s="1">
        <v>1129755519</v>
      </c>
      <c r="D443" t="s">
        <v>366</v>
      </c>
      <c r="E443" s="2" t="str">
        <f>_xlfn.XLOOKUP(Cat_SKU[[#This Row],[Item]],CAT_MOD_v31[NÚMERO DE ARTÍCULO (SAP)],CAT_MOD_v31[RESUMIDO],"",0)</f>
        <v>Pulsar NS160</v>
      </c>
      <c r="F443" s="2" t="str">
        <f>_xlfn.XLOOKUP(Cat_SKU[[#This Row],[Item]],CAT_MOD_v31[NÚMERO DE ARTÍCULO (SAP)],CAT_MOD_v31[COLOR],"",0)</f>
        <v>Negro</v>
      </c>
      <c r="G443" s="2">
        <f>_xlfn.XLOOKUP(Cat_SKU[[#This Row],[Item]],CAT_MOD_v31[NÚMERO DE ARTÍCULO (SAP)],CAT_MOD_v31[AÑO],"",0)</f>
        <v>2023</v>
      </c>
    </row>
    <row r="444" spans="1:7" x14ac:dyDescent="0.35">
      <c r="A444" t="s">
        <v>103</v>
      </c>
      <c r="B444" s="1">
        <v>1129755578</v>
      </c>
      <c r="D444" t="s">
        <v>329</v>
      </c>
      <c r="E444" s="2" t="str">
        <f>_xlfn.XLOOKUP(Cat_SKU[[#This Row],[Item]],CAT_MOD_v31[NÚMERO DE ARTÍCULO (SAP)],CAT_MOD_v31[RESUMIDO],"",0)</f>
        <v>Dominar 250</v>
      </c>
      <c r="F444" s="2" t="str">
        <f>_xlfn.XLOOKUP(Cat_SKU[[#This Row],[Item]],CAT_MOD_v31[NÚMERO DE ARTÍCULO (SAP)],CAT_MOD_v31[COLOR],"",0)</f>
        <v>Negro</v>
      </c>
      <c r="G444" s="2">
        <f>_xlfn.XLOOKUP(Cat_SKU[[#This Row],[Item]],CAT_MOD_v31[NÚMERO DE ARTÍCULO (SAP)],CAT_MOD_v31[AÑO],"",0)</f>
        <v>2023</v>
      </c>
    </row>
    <row r="445" spans="1:7" x14ac:dyDescent="0.35">
      <c r="A445" t="s">
        <v>103</v>
      </c>
      <c r="B445" s="1">
        <v>1129755586</v>
      </c>
      <c r="D445" t="s">
        <v>331</v>
      </c>
      <c r="E445" s="2" t="str">
        <f>_xlfn.XLOOKUP(Cat_SKU[[#This Row],[Item]],CAT_MOD_v31[NÚMERO DE ARTÍCULO (SAP)],CAT_MOD_v31[RESUMIDO],"",0)</f>
        <v>Dominar 400</v>
      </c>
      <c r="F445" s="2" t="str">
        <f>_xlfn.XLOOKUP(Cat_SKU[[#This Row],[Item]],CAT_MOD_v31[NÚMERO DE ARTÍCULO (SAP)],CAT_MOD_v31[COLOR],"",0)</f>
        <v>Verde</v>
      </c>
      <c r="G445" s="2">
        <f>_xlfn.XLOOKUP(Cat_SKU[[#This Row],[Item]],CAT_MOD_v31[NÚMERO DE ARTÍCULO (SAP)],CAT_MOD_v31[AÑO],"",0)</f>
        <v>2023</v>
      </c>
    </row>
    <row r="446" spans="1:7" x14ac:dyDescent="0.35">
      <c r="A446" t="s">
        <v>103</v>
      </c>
      <c r="B446" s="1">
        <v>1129755969</v>
      </c>
      <c r="D446" t="s">
        <v>328</v>
      </c>
      <c r="E446" s="2" t="str">
        <f>_xlfn.XLOOKUP(Cat_SKU[[#This Row],[Item]],CAT_MOD_v31[NÚMERO DE ARTÍCULO (SAP)],CAT_MOD_v31[RESUMIDO],"",0)</f>
        <v>Boxer BM150</v>
      </c>
      <c r="F446" s="2" t="str">
        <f>_xlfn.XLOOKUP(Cat_SKU[[#This Row],[Item]],CAT_MOD_v31[NÚMERO DE ARTÍCULO (SAP)],CAT_MOD_v31[COLOR],"",0)</f>
        <v>Blanco</v>
      </c>
      <c r="G446" s="2">
        <f>_xlfn.XLOOKUP(Cat_SKU[[#This Row],[Item]],CAT_MOD_v31[NÚMERO DE ARTÍCULO (SAP)],CAT_MOD_v31[AÑO],"",0)</f>
        <v>2023</v>
      </c>
    </row>
    <row r="447" spans="1:7" x14ac:dyDescent="0.35">
      <c r="A447" t="s">
        <v>103</v>
      </c>
      <c r="B447" s="1">
        <v>1129755977</v>
      </c>
      <c r="D447" t="s">
        <v>327</v>
      </c>
      <c r="E447" s="2" t="str">
        <f>_xlfn.XLOOKUP(Cat_SKU[[#This Row],[Item]],CAT_MOD_v31[NÚMERO DE ARTÍCULO (SAP)],CAT_MOD_v31[RESUMIDO],"",0)</f>
        <v>Boxer BM150</v>
      </c>
      <c r="F447" s="2" t="str">
        <f>_xlfn.XLOOKUP(Cat_SKU[[#This Row],[Item]],CAT_MOD_v31[NÚMERO DE ARTÍCULO (SAP)],CAT_MOD_v31[COLOR],"",0)</f>
        <v>Negro</v>
      </c>
      <c r="G447" s="2">
        <f>_xlfn.XLOOKUP(Cat_SKU[[#This Row],[Item]],CAT_MOD_v31[NÚMERO DE ARTÍCULO (SAP)],CAT_MOD_v31[AÑO],"",0)</f>
        <v>2023</v>
      </c>
    </row>
    <row r="448" spans="1:7" x14ac:dyDescent="0.35">
      <c r="A448" t="s">
        <v>103</v>
      </c>
      <c r="B448" s="1">
        <v>1129756027</v>
      </c>
      <c r="D448" t="s">
        <v>375</v>
      </c>
      <c r="E448" s="2" t="str">
        <f>_xlfn.XLOOKUP(Cat_SKU[[#This Row],[Item]],CAT_MOD_v31[NÚMERO DE ARTÍCULO (SAP)],CAT_MOD_v31[RESUMIDO],"",0)</f>
        <v>Pulsar NS200</v>
      </c>
      <c r="F448" s="2" t="str">
        <f>_xlfn.XLOOKUP(Cat_SKU[[#This Row],[Item]],CAT_MOD_v31[NÚMERO DE ARTÍCULO (SAP)],CAT_MOD_v31[COLOR],"",0)</f>
        <v>Perla</v>
      </c>
      <c r="G448" s="2">
        <f>_xlfn.XLOOKUP(Cat_SKU[[#This Row],[Item]],CAT_MOD_v31[NÚMERO DE ARTÍCULO (SAP)],CAT_MOD_v31[AÑO],"",0)</f>
        <v>2023</v>
      </c>
    </row>
    <row r="449" spans="1:7" x14ac:dyDescent="0.35">
      <c r="A449" t="s">
        <v>103</v>
      </c>
      <c r="B449" s="1">
        <v>1129756035</v>
      </c>
      <c r="D449" t="s">
        <v>371</v>
      </c>
      <c r="E449" s="2" t="str">
        <f>_xlfn.XLOOKUP(Cat_SKU[[#This Row],[Item]],CAT_MOD_v31[NÚMERO DE ARTÍCULO (SAP)],CAT_MOD_v31[RESUMIDO],"",0)</f>
        <v>Pulsar NS200</v>
      </c>
      <c r="F449" s="2" t="str">
        <f>_xlfn.XLOOKUP(Cat_SKU[[#This Row],[Item]],CAT_MOD_v31[NÚMERO DE ARTÍCULO (SAP)],CAT_MOD_v31[COLOR],"",0)</f>
        <v>Negro</v>
      </c>
      <c r="G449" s="2">
        <f>_xlfn.XLOOKUP(Cat_SKU[[#This Row],[Item]],CAT_MOD_v31[NÚMERO DE ARTÍCULO (SAP)],CAT_MOD_v31[AÑO],"",0)</f>
        <v>2023</v>
      </c>
    </row>
    <row r="450" spans="1:7" x14ac:dyDescent="0.35">
      <c r="A450" t="s">
        <v>103</v>
      </c>
      <c r="B450" s="1">
        <v>1129756043</v>
      </c>
      <c r="D450" t="s">
        <v>372</v>
      </c>
      <c r="E450" s="2" t="str">
        <f>_xlfn.XLOOKUP(Cat_SKU[[#This Row],[Item]],CAT_MOD_v31[NÚMERO DE ARTÍCULO (SAP)],CAT_MOD_v31[RESUMIDO],"",0)</f>
        <v>Pulsar RS200</v>
      </c>
      <c r="F450" s="2" t="str">
        <f>_xlfn.XLOOKUP(Cat_SKU[[#This Row],[Item]],CAT_MOD_v31[NÚMERO DE ARTÍCULO (SAP)],CAT_MOD_v31[COLOR],"",0)</f>
        <v>Negro</v>
      </c>
      <c r="G450" s="2">
        <f>_xlfn.XLOOKUP(Cat_SKU[[#This Row],[Item]],CAT_MOD_v31[NÚMERO DE ARTÍCULO (SAP)],CAT_MOD_v31[AÑO],"",0)</f>
        <v>2023</v>
      </c>
    </row>
    <row r="451" spans="1:7" x14ac:dyDescent="0.35">
      <c r="A451" t="s">
        <v>103</v>
      </c>
      <c r="B451" s="1">
        <v>1129756051</v>
      </c>
      <c r="D451" t="s">
        <v>340</v>
      </c>
      <c r="E451" s="2" t="str">
        <f>_xlfn.XLOOKUP(Cat_SKU[[#This Row],[Item]],CAT_MOD_v31[NÚMERO DE ARTÍCULO (SAP)],CAT_MOD_v31[RESUMIDO],"",0)</f>
        <v>Pulsar RS200</v>
      </c>
      <c r="F451" s="2" t="str">
        <f>_xlfn.XLOOKUP(Cat_SKU[[#This Row],[Item]],CAT_MOD_v31[NÚMERO DE ARTÍCULO (SAP)],CAT_MOD_v31[COLOR],"",0)</f>
        <v>Perla</v>
      </c>
      <c r="G451" s="2">
        <f>_xlfn.XLOOKUP(Cat_SKU[[#This Row],[Item]],CAT_MOD_v31[NÚMERO DE ARTÍCULO (SAP)],CAT_MOD_v31[AÑO],"",0)</f>
        <v>2023</v>
      </c>
    </row>
    <row r="452" spans="1:7" x14ac:dyDescent="0.35">
      <c r="A452" t="s">
        <v>103</v>
      </c>
      <c r="B452" s="1">
        <v>1129756060</v>
      </c>
      <c r="D452" t="s">
        <v>376</v>
      </c>
      <c r="E452" s="2" t="str">
        <f>_xlfn.XLOOKUP(Cat_SKU[[#This Row],[Item]],CAT_MOD_v31[NÚMERO DE ARTÍCULO (SAP)],CAT_MOD_v31[RESUMIDO],"",0)</f>
        <v>Dominar 250</v>
      </c>
      <c r="F452" s="2" t="str">
        <f>_xlfn.XLOOKUP(Cat_SKU[[#This Row],[Item]],CAT_MOD_v31[NÚMERO DE ARTÍCULO (SAP)],CAT_MOD_v31[COLOR],"",0)</f>
        <v>Rojo</v>
      </c>
      <c r="G452" s="2">
        <f>_xlfn.XLOOKUP(Cat_SKU[[#This Row],[Item]],CAT_MOD_v31[NÚMERO DE ARTÍCULO (SAP)],CAT_MOD_v31[AÑO],"",0)</f>
        <v>2023</v>
      </c>
    </row>
    <row r="453" spans="1:7" x14ac:dyDescent="0.35">
      <c r="A453" t="s">
        <v>103</v>
      </c>
      <c r="B453" s="1">
        <v>1131545777</v>
      </c>
      <c r="D453" t="s">
        <v>337</v>
      </c>
      <c r="E453" s="2" t="str">
        <f>_xlfn.XLOOKUP(Cat_SKU[[#This Row],[Item]],CAT_MOD_v31[NÚMERO DE ARTÍCULO (SAP)],CAT_MOD_v31[RESUMIDO],"",0)</f>
        <v>Pulsar N250 FI ABS</v>
      </c>
      <c r="F453" s="2" t="str">
        <f>_xlfn.XLOOKUP(Cat_SKU[[#This Row],[Item]],CAT_MOD_v31[NÚMERO DE ARTÍCULO (SAP)],CAT_MOD_v31[COLOR],"",0)</f>
        <v>Negro</v>
      </c>
      <c r="G453" s="2">
        <f>_xlfn.XLOOKUP(Cat_SKU[[#This Row],[Item]],CAT_MOD_v31[NÚMERO DE ARTÍCULO (SAP)],CAT_MOD_v31[AÑO],"",0)</f>
        <v>2023</v>
      </c>
    </row>
    <row r="454" spans="1:7" x14ac:dyDescent="0.35">
      <c r="A454" t="s">
        <v>103</v>
      </c>
      <c r="B454" s="1">
        <v>1134397361</v>
      </c>
      <c r="D454" t="s">
        <v>316</v>
      </c>
      <c r="E454" s="2" t="str">
        <f>_xlfn.XLOOKUP(Cat_SKU[[#This Row],[Item]],CAT_MOD_v31[NÚMERO DE ARTÍCULO (SAP)],CAT_MOD_v31[RESUMIDO],"",0)</f>
        <v>Pulsar LS125</v>
      </c>
      <c r="F454" s="2" t="str">
        <f>_xlfn.XLOOKUP(Cat_SKU[[#This Row],[Item]],CAT_MOD_v31[NÚMERO DE ARTÍCULO (SAP)],CAT_MOD_v31[COLOR],"",0)</f>
        <v>Negro</v>
      </c>
      <c r="G454" s="2">
        <f>_xlfn.XLOOKUP(Cat_SKU[[#This Row],[Item]],CAT_MOD_v31[NÚMERO DE ARTÍCULO (SAP)],CAT_MOD_v31[AÑO],"",0)</f>
        <v>2023</v>
      </c>
    </row>
    <row r="455" spans="1:7" x14ac:dyDescent="0.35">
      <c r="A455" t="s">
        <v>103</v>
      </c>
      <c r="B455" s="1">
        <v>1134506829</v>
      </c>
      <c r="D455" t="s">
        <v>380</v>
      </c>
      <c r="E455" s="2" t="str">
        <f>_xlfn.XLOOKUP(Cat_SKU[[#This Row],[Item]],CAT_MOD_v31[NÚMERO DE ARTÍCULO (SAP)],CAT_MOD_v31[RESUMIDO],"",0)</f>
        <v>Pulsar 200 FI</v>
      </c>
      <c r="F455" s="2" t="str">
        <f>_xlfn.XLOOKUP(Cat_SKU[[#This Row],[Item]],CAT_MOD_v31[NÚMERO DE ARTÍCULO (SAP)],CAT_MOD_v31[COLOR],"",0)</f>
        <v>Gris</v>
      </c>
      <c r="G455" s="2">
        <f>_xlfn.XLOOKUP(Cat_SKU[[#This Row],[Item]],CAT_MOD_v31[NÚMERO DE ARTÍCULO (SAP)],CAT_MOD_v31[AÑO],"",0)</f>
        <v>2023</v>
      </c>
    </row>
    <row r="456" spans="1:7" x14ac:dyDescent="0.35">
      <c r="A456" t="s">
        <v>103</v>
      </c>
      <c r="B456" s="1">
        <v>1139086160</v>
      </c>
      <c r="D456" t="s">
        <v>336</v>
      </c>
      <c r="E456" s="2" t="str">
        <f>_xlfn.XLOOKUP(Cat_SKU[[#This Row],[Item]],CAT_MOD_v31[NÚMERO DE ARTÍCULO (SAP)],CAT_MOD_v31[RESUMIDO],"",0)</f>
        <v>Pulsar N160 FI ABS</v>
      </c>
      <c r="F456" s="2" t="str">
        <f>_xlfn.XLOOKUP(Cat_SKU[[#This Row],[Item]],CAT_MOD_v31[NÚMERO DE ARTÍCULO (SAP)],CAT_MOD_v31[COLOR],"",0)</f>
        <v>Negro</v>
      </c>
      <c r="G456" s="2">
        <f>_xlfn.XLOOKUP(Cat_SKU[[#This Row],[Item]],CAT_MOD_v31[NÚMERO DE ARTÍCULO (SAP)],CAT_MOD_v31[AÑO],"",0)</f>
        <v>2023</v>
      </c>
    </row>
    <row r="457" spans="1:7" x14ac:dyDescent="0.35">
      <c r="A457" t="s">
        <v>103</v>
      </c>
      <c r="B457" s="1">
        <v>1144143724</v>
      </c>
      <c r="D457" t="s">
        <v>293</v>
      </c>
      <c r="E457" s="2" t="str">
        <f>_xlfn.XLOOKUP(Cat_SKU[[#This Row],[Item]],CAT_MOD_v31[NÚMERO DE ARTÍCULO (SAP)],CAT_MOD_v31[RESUMIDO],"",0)</f>
        <v>Pulsar N160 FI ABS</v>
      </c>
      <c r="F457" s="2" t="str">
        <f>_xlfn.XLOOKUP(Cat_SKU[[#This Row],[Item]],CAT_MOD_v31[NÚMERO DE ARTÍCULO (SAP)],CAT_MOD_v31[COLOR],"",0)</f>
        <v>Negro</v>
      </c>
      <c r="G457" s="2">
        <f>_xlfn.XLOOKUP(Cat_SKU[[#This Row],[Item]],CAT_MOD_v31[NÚMERO DE ARTÍCULO (SAP)],CAT_MOD_v31[AÑO],"",0)</f>
        <v>2024</v>
      </c>
    </row>
    <row r="458" spans="1:7" x14ac:dyDescent="0.35">
      <c r="A458" t="s">
        <v>103</v>
      </c>
      <c r="B458" s="1">
        <v>1144143732</v>
      </c>
      <c r="D458" t="s">
        <v>294</v>
      </c>
      <c r="E458" s="2" t="str">
        <f>_xlfn.XLOOKUP(Cat_SKU[[#This Row],[Item]],CAT_MOD_v31[NÚMERO DE ARTÍCULO (SAP)],CAT_MOD_v31[RESUMIDO],"",0)</f>
        <v>Pulsar N250 FI ABS</v>
      </c>
      <c r="F458" s="2" t="str">
        <f>_xlfn.XLOOKUP(Cat_SKU[[#This Row],[Item]],CAT_MOD_v31[NÚMERO DE ARTÍCULO (SAP)],CAT_MOD_v31[COLOR],"",0)</f>
        <v>Negro</v>
      </c>
      <c r="G458" s="2">
        <f>_xlfn.XLOOKUP(Cat_SKU[[#This Row],[Item]],CAT_MOD_v31[NÚMERO DE ARTÍCULO (SAP)],CAT_MOD_v31[AÑO],"",0)</f>
        <v>2024</v>
      </c>
    </row>
    <row r="459" spans="1:7" x14ac:dyDescent="0.35">
      <c r="A459" t="s">
        <v>103</v>
      </c>
      <c r="B459" s="1">
        <v>1144185303</v>
      </c>
      <c r="D459" t="s">
        <v>350</v>
      </c>
      <c r="E459" s="2" t="str">
        <f>_xlfn.XLOOKUP(Cat_SKU[[#This Row],[Item]],CAT_MOD_v31[NÚMERO DE ARTÍCULO (SAP)],CAT_MOD_v31[RESUMIDO],"",0)</f>
        <v>Pulsar NS160</v>
      </c>
      <c r="F459" s="2" t="str">
        <f>_xlfn.XLOOKUP(Cat_SKU[[#This Row],[Item]],CAT_MOD_v31[NÚMERO DE ARTÍCULO (SAP)],CAT_MOD_v31[COLOR],"",0)</f>
        <v>Perla</v>
      </c>
      <c r="G459" s="2">
        <f>_xlfn.XLOOKUP(Cat_SKU[[#This Row],[Item]],CAT_MOD_v31[NÚMERO DE ARTÍCULO (SAP)],CAT_MOD_v31[AÑO],"",0)</f>
        <v>2024</v>
      </c>
    </row>
    <row r="460" spans="1:7" x14ac:dyDescent="0.35">
      <c r="A460" t="s">
        <v>103</v>
      </c>
      <c r="B460" s="1">
        <v>1144185311</v>
      </c>
      <c r="D460" t="s">
        <v>349</v>
      </c>
      <c r="E460" s="2" t="str">
        <f>_xlfn.XLOOKUP(Cat_SKU[[#This Row],[Item]],CAT_MOD_v31[NÚMERO DE ARTÍCULO (SAP)],CAT_MOD_v31[RESUMIDO],"",0)</f>
        <v>Pulsar NS160</v>
      </c>
      <c r="F460" s="2" t="str">
        <f>_xlfn.XLOOKUP(Cat_SKU[[#This Row],[Item]],CAT_MOD_v31[NÚMERO DE ARTÍCULO (SAP)],CAT_MOD_v31[COLOR],"",0)</f>
        <v>Azul</v>
      </c>
      <c r="G460" s="2">
        <f>_xlfn.XLOOKUP(Cat_SKU[[#This Row],[Item]],CAT_MOD_v31[NÚMERO DE ARTÍCULO (SAP)],CAT_MOD_v31[AÑO],"",0)</f>
        <v>2024</v>
      </c>
    </row>
    <row r="461" spans="1:7" x14ac:dyDescent="0.35">
      <c r="A461" t="s">
        <v>103</v>
      </c>
      <c r="B461" s="1">
        <v>1144187420</v>
      </c>
      <c r="D461" t="s">
        <v>351</v>
      </c>
      <c r="E461" s="2" t="str">
        <f>_xlfn.XLOOKUP(Cat_SKU[[#This Row],[Item]],CAT_MOD_v31[NÚMERO DE ARTÍCULO (SAP)],CAT_MOD_v31[RESUMIDO],"",0)</f>
        <v>Pulsar LS125</v>
      </c>
      <c r="F461" s="2" t="str">
        <f>_xlfn.XLOOKUP(Cat_SKU[[#This Row],[Item]],CAT_MOD_v31[NÚMERO DE ARTÍCULO (SAP)],CAT_MOD_v31[COLOR],"",0)</f>
        <v>Amarillo</v>
      </c>
      <c r="G461" s="2">
        <f>_xlfn.XLOOKUP(Cat_SKU[[#This Row],[Item]],CAT_MOD_v31[NÚMERO DE ARTÍCULO (SAP)],CAT_MOD_v31[AÑO],"",0)</f>
        <v>2024</v>
      </c>
    </row>
    <row r="462" spans="1:7" x14ac:dyDescent="0.35">
      <c r="A462" t="s">
        <v>103</v>
      </c>
      <c r="B462" s="1">
        <v>1144301761</v>
      </c>
      <c r="D462" t="s">
        <v>352</v>
      </c>
      <c r="E462" s="2" t="str">
        <f>_xlfn.XLOOKUP(Cat_SKU[[#This Row],[Item]],CAT_MOD_v31[NÚMERO DE ARTÍCULO (SAP)],CAT_MOD_v31[RESUMIDO],"",0)</f>
        <v>Pulsar LS125</v>
      </c>
      <c r="F462" s="2" t="str">
        <f>_xlfn.XLOOKUP(Cat_SKU[[#This Row],[Item]],CAT_MOD_v31[NÚMERO DE ARTÍCULO (SAP)],CAT_MOD_v31[COLOR],"",0)</f>
        <v>Negro</v>
      </c>
      <c r="G462" s="2">
        <f>_xlfn.XLOOKUP(Cat_SKU[[#This Row],[Item]],CAT_MOD_v31[NÚMERO DE ARTÍCULO (SAP)],CAT_MOD_v31[AÑO],"",0)</f>
        <v>2024</v>
      </c>
    </row>
    <row r="463" spans="1:7" x14ac:dyDescent="0.35">
      <c r="A463" t="s">
        <v>103</v>
      </c>
      <c r="B463" s="1">
        <v>1144466736</v>
      </c>
      <c r="D463" t="s">
        <v>293</v>
      </c>
      <c r="E463" s="2" t="str">
        <f>_xlfn.XLOOKUP(Cat_SKU[[#This Row],[Item]],CAT_MOD_v31[NÚMERO DE ARTÍCULO (SAP)],CAT_MOD_v31[RESUMIDO],"",0)</f>
        <v>Pulsar N160 FI ABS</v>
      </c>
      <c r="F463" s="2" t="str">
        <f>_xlfn.XLOOKUP(Cat_SKU[[#This Row],[Item]],CAT_MOD_v31[NÚMERO DE ARTÍCULO (SAP)],CAT_MOD_v31[COLOR],"",0)</f>
        <v>Negro</v>
      </c>
      <c r="G463" s="2">
        <f>_xlfn.XLOOKUP(Cat_SKU[[#This Row],[Item]],CAT_MOD_v31[NÚMERO DE ARTÍCULO (SAP)],CAT_MOD_v31[AÑO],"",0)</f>
        <v>2024</v>
      </c>
    </row>
    <row r="464" spans="1:7" x14ac:dyDescent="0.35">
      <c r="A464" t="s">
        <v>103</v>
      </c>
      <c r="B464" s="1">
        <v>1145257553</v>
      </c>
      <c r="D464" t="s">
        <v>314</v>
      </c>
      <c r="E464" s="2" t="str">
        <f>_xlfn.XLOOKUP(Cat_SKU[[#This Row],[Item]],CAT_MOD_v31[NÚMERO DE ARTÍCULO (SAP)],CAT_MOD_v31[RESUMIDO],"",0)</f>
        <v>Pulsar NS200</v>
      </c>
      <c r="F464" s="2" t="str">
        <f>_xlfn.XLOOKUP(Cat_SKU[[#This Row],[Item]],CAT_MOD_v31[NÚMERO DE ARTÍCULO (SAP)],CAT_MOD_v31[COLOR],"",0)</f>
        <v>Gris</v>
      </c>
      <c r="G464" s="2">
        <f>_xlfn.XLOOKUP(Cat_SKU[[#This Row],[Item]],CAT_MOD_v31[NÚMERO DE ARTÍCULO (SAP)],CAT_MOD_v31[AÑO],"",0)</f>
        <v>2024</v>
      </c>
    </row>
    <row r="465" spans="1:7" x14ac:dyDescent="0.35">
      <c r="A465" t="s">
        <v>103</v>
      </c>
      <c r="B465" s="1">
        <v>1145514912</v>
      </c>
      <c r="D465" t="s">
        <v>299</v>
      </c>
      <c r="E465" s="2" t="str">
        <f>_xlfn.XLOOKUP(Cat_SKU[[#This Row],[Item]],CAT_MOD_v31[NÚMERO DE ARTÍCULO (SAP)],CAT_MOD_v31[RESUMIDO],"",0)</f>
        <v>Boxer BM150</v>
      </c>
      <c r="F465" s="2" t="str">
        <f>_xlfn.XLOOKUP(Cat_SKU[[#This Row],[Item]],CAT_MOD_v31[NÚMERO DE ARTÍCULO (SAP)],CAT_MOD_v31[COLOR],"",0)</f>
        <v>Blanco</v>
      </c>
      <c r="G465" s="2">
        <f>_xlfn.XLOOKUP(Cat_SKU[[#This Row],[Item]],CAT_MOD_v31[NÚMERO DE ARTÍCULO (SAP)],CAT_MOD_v31[AÑO],"",0)</f>
        <v>2024</v>
      </c>
    </row>
    <row r="466" spans="1:7" x14ac:dyDescent="0.35">
      <c r="A466" t="s">
        <v>103</v>
      </c>
      <c r="B466" s="1">
        <v>1145515587</v>
      </c>
      <c r="D466" t="s">
        <v>303</v>
      </c>
      <c r="E466" s="2" t="str">
        <f>_xlfn.XLOOKUP(Cat_SKU[[#This Row],[Item]],CAT_MOD_v31[NÚMERO DE ARTÍCULO (SAP)],CAT_MOD_v31[RESUMIDO],"",0)</f>
        <v>Avenger Cruise 220</v>
      </c>
      <c r="F466" s="2" t="str">
        <f>_xlfn.XLOOKUP(Cat_SKU[[#This Row],[Item]],CAT_MOD_v31[NÚMERO DE ARTÍCULO (SAP)],CAT_MOD_v31[COLOR],"",0)</f>
        <v>Negro</v>
      </c>
      <c r="G466" s="2">
        <f>_xlfn.XLOOKUP(Cat_SKU[[#This Row],[Item]],CAT_MOD_v31[NÚMERO DE ARTÍCULO (SAP)],CAT_MOD_v31[AÑO],"",0)</f>
        <v>2024</v>
      </c>
    </row>
    <row r="467" spans="1:7" x14ac:dyDescent="0.35">
      <c r="A467" t="s">
        <v>103</v>
      </c>
      <c r="B467" s="1">
        <v>1145516222</v>
      </c>
      <c r="D467" t="s">
        <v>296</v>
      </c>
      <c r="E467" s="2" t="str">
        <f>_xlfn.XLOOKUP(Cat_SKU[[#This Row],[Item]],CAT_MOD_v31[NÚMERO DE ARTÍCULO (SAP)],CAT_MOD_v31[RESUMIDO],"",0)</f>
        <v>Boxer BM150</v>
      </c>
      <c r="F467" s="2" t="str">
        <f>_xlfn.XLOOKUP(Cat_SKU[[#This Row],[Item]],CAT_MOD_v31[NÚMERO DE ARTÍCULO (SAP)],CAT_MOD_v31[COLOR],"",0)</f>
        <v>Negro</v>
      </c>
      <c r="G467" s="2">
        <f>_xlfn.XLOOKUP(Cat_SKU[[#This Row],[Item]],CAT_MOD_v31[NÚMERO DE ARTÍCULO (SAP)],CAT_MOD_v31[AÑO],"",0)</f>
        <v>2024</v>
      </c>
    </row>
    <row r="468" spans="1:7" x14ac:dyDescent="0.35">
      <c r="A468" t="s">
        <v>103</v>
      </c>
      <c r="B468" s="1">
        <v>1145592212</v>
      </c>
      <c r="D468" t="s">
        <v>297</v>
      </c>
      <c r="E468" s="2" t="str">
        <f>_xlfn.XLOOKUP(Cat_SKU[[#This Row],[Item]],CAT_MOD_v31[NÚMERO DE ARTÍCULO (SAP)],CAT_MOD_v31[RESUMIDO],"",0)</f>
        <v>Dominar 400</v>
      </c>
      <c r="F468" s="2" t="str">
        <f>_xlfn.XLOOKUP(Cat_SKU[[#This Row],[Item]],CAT_MOD_v31[NÚMERO DE ARTÍCULO (SAP)],CAT_MOD_v31[COLOR],"",0)</f>
        <v>Negro</v>
      </c>
      <c r="G468" s="2">
        <f>_xlfn.XLOOKUP(Cat_SKU[[#This Row],[Item]],CAT_MOD_v31[NÚMERO DE ARTÍCULO (SAP)],CAT_MOD_v31[AÑO],"",0)</f>
        <v>2024</v>
      </c>
    </row>
    <row r="469" spans="1:7" x14ac:dyDescent="0.35">
      <c r="A469" t="s">
        <v>103</v>
      </c>
      <c r="B469" s="1">
        <v>1145593421</v>
      </c>
      <c r="D469" t="s">
        <v>347</v>
      </c>
      <c r="E469" s="2" t="str">
        <f>_xlfn.XLOOKUP(Cat_SKU[[#This Row],[Item]],CAT_MOD_v31[NÚMERO DE ARTÍCULO (SAP)],CAT_MOD_v31[RESUMIDO],"",0)</f>
        <v>Dominar 400</v>
      </c>
      <c r="F469" s="2" t="str">
        <f>_xlfn.XLOOKUP(Cat_SKU[[#This Row],[Item]],CAT_MOD_v31[NÚMERO DE ARTÍCULO (SAP)],CAT_MOD_v31[COLOR],"",0)</f>
        <v>Verde</v>
      </c>
      <c r="G469" s="2">
        <f>_xlfn.XLOOKUP(Cat_SKU[[#This Row],[Item]],CAT_MOD_v31[NÚMERO DE ARTÍCULO (SAP)],CAT_MOD_v31[AÑO],"",0)</f>
        <v>2024</v>
      </c>
    </row>
    <row r="470" spans="1:7" x14ac:dyDescent="0.35">
      <c r="A470" t="s">
        <v>103</v>
      </c>
      <c r="B470" s="1">
        <v>1145593430</v>
      </c>
      <c r="D470" t="s">
        <v>345</v>
      </c>
      <c r="E470" s="2" t="str">
        <f>_xlfn.XLOOKUP(Cat_SKU[[#This Row],[Item]],CAT_MOD_v31[NÚMERO DE ARTÍCULO (SAP)],CAT_MOD_v31[RESUMIDO],"",0)</f>
        <v>Dominar 250</v>
      </c>
      <c r="F470" s="2" t="str">
        <f>_xlfn.XLOOKUP(Cat_SKU[[#This Row],[Item]],CAT_MOD_v31[NÚMERO DE ARTÍCULO (SAP)],CAT_MOD_v31[COLOR],"",0)</f>
        <v>Negro</v>
      </c>
      <c r="G470" s="2">
        <f>_xlfn.XLOOKUP(Cat_SKU[[#This Row],[Item]],CAT_MOD_v31[NÚMERO DE ARTÍCULO (SAP)],CAT_MOD_v31[AÑO],"",0)</f>
        <v>2024</v>
      </c>
    </row>
    <row r="471" spans="1:7" x14ac:dyDescent="0.35">
      <c r="A471" t="s">
        <v>103</v>
      </c>
      <c r="B471" s="1">
        <v>1145593448</v>
      </c>
      <c r="D471" t="s">
        <v>346</v>
      </c>
      <c r="E471" s="2" t="str">
        <f>_xlfn.XLOOKUP(Cat_SKU[[#This Row],[Item]],CAT_MOD_v31[NÚMERO DE ARTÍCULO (SAP)],CAT_MOD_v31[RESUMIDO],"",0)</f>
        <v>Dominar 250</v>
      </c>
      <c r="F471" s="2" t="str">
        <f>_xlfn.XLOOKUP(Cat_SKU[[#This Row],[Item]],CAT_MOD_v31[NÚMERO DE ARTÍCULO (SAP)],CAT_MOD_v31[COLOR],"",0)</f>
        <v>Rojo</v>
      </c>
      <c r="G471" s="2">
        <f>_xlfn.XLOOKUP(Cat_SKU[[#This Row],[Item]],CAT_MOD_v31[NÚMERO DE ARTÍCULO (SAP)],CAT_MOD_v31[AÑO],"",0)</f>
        <v>2024</v>
      </c>
    </row>
    <row r="472" spans="1:7" x14ac:dyDescent="0.35">
      <c r="A472" t="s">
        <v>103</v>
      </c>
      <c r="B472" s="1">
        <v>1145593456</v>
      </c>
      <c r="D472" t="s">
        <v>301</v>
      </c>
      <c r="E472" s="2" t="str">
        <f>_xlfn.XLOOKUP(Cat_SKU[[#This Row],[Item]],CAT_MOD_v31[NÚMERO DE ARTÍCULO (SAP)],CAT_MOD_v31[RESUMIDO],"",0)</f>
        <v>Pulsar RS200</v>
      </c>
      <c r="F472" s="2" t="str">
        <f>_xlfn.XLOOKUP(Cat_SKU[[#This Row],[Item]],CAT_MOD_v31[NÚMERO DE ARTÍCULO (SAP)],CAT_MOD_v31[COLOR],"",0)</f>
        <v>Gris</v>
      </c>
      <c r="G472" s="2">
        <f>_xlfn.XLOOKUP(Cat_SKU[[#This Row],[Item]],CAT_MOD_v31[NÚMERO DE ARTÍCULO (SAP)],CAT_MOD_v31[AÑO],"",0)</f>
        <v>2024</v>
      </c>
    </row>
    <row r="473" spans="1:7" x14ac:dyDescent="0.35">
      <c r="A473" t="s">
        <v>103</v>
      </c>
      <c r="B473" s="1">
        <v>1146570930</v>
      </c>
      <c r="D473" t="s">
        <v>354</v>
      </c>
      <c r="E473" s="2" t="str">
        <f>_xlfn.XLOOKUP(Cat_SKU[[#This Row],[Item]],CAT_MOD_v31[NÚMERO DE ARTÍCULO (SAP)],CAT_MOD_v31[RESUMIDO],"",0)</f>
        <v>Pulsar NS200</v>
      </c>
      <c r="F473" s="2" t="str">
        <f>_xlfn.XLOOKUP(Cat_SKU[[#This Row],[Item]],CAT_MOD_v31[NÚMERO DE ARTÍCULO (SAP)],CAT_MOD_v31[COLOR],"",0)</f>
        <v>Perla</v>
      </c>
      <c r="G473" s="2">
        <f>_xlfn.XLOOKUP(Cat_SKU[[#This Row],[Item]],CAT_MOD_v31[NÚMERO DE ARTÍCULO (SAP)],CAT_MOD_v31[AÑO],"",0)</f>
        <v>2024</v>
      </c>
    </row>
    <row r="474" spans="1:7" x14ac:dyDescent="0.35">
      <c r="A474" t="s">
        <v>103</v>
      </c>
      <c r="B474" s="1">
        <v>1146570948</v>
      </c>
      <c r="D474" t="s">
        <v>356</v>
      </c>
      <c r="E474" s="2" t="str">
        <f>_xlfn.XLOOKUP(Cat_SKU[[#This Row],[Item]],CAT_MOD_v31[NÚMERO DE ARTÍCULO (SAP)],CAT_MOD_v31[RESUMIDO],"",0)</f>
        <v>Pulsar NS200</v>
      </c>
      <c r="F474" s="2" t="str">
        <f>_xlfn.XLOOKUP(Cat_SKU[[#This Row],[Item]],CAT_MOD_v31[NÚMERO DE ARTÍCULO (SAP)],CAT_MOD_v31[COLOR],"",0)</f>
        <v>Rojo</v>
      </c>
      <c r="G474" s="2">
        <f>_xlfn.XLOOKUP(Cat_SKU[[#This Row],[Item]],CAT_MOD_v31[NÚMERO DE ARTÍCULO (SAP)],CAT_MOD_v31[AÑO],"",0)</f>
        <v>2024</v>
      </c>
    </row>
    <row r="475" spans="1:7" x14ac:dyDescent="0.35">
      <c r="A475" t="s">
        <v>103</v>
      </c>
      <c r="B475" s="1">
        <v>1146570956</v>
      </c>
      <c r="D475" t="s">
        <v>355</v>
      </c>
      <c r="E475" s="2" t="str">
        <f>_xlfn.XLOOKUP(Cat_SKU[[#This Row],[Item]],CAT_MOD_v31[NÚMERO DE ARTÍCULO (SAP)],CAT_MOD_v31[RESUMIDO],"",0)</f>
        <v>Pulsar RS200</v>
      </c>
      <c r="F475" s="2" t="str">
        <f>_xlfn.XLOOKUP(Cat_SKU[[#This Row],[Item]],CAT_MOD_v31[NÚMERO DE ARTÍCULO (SAP)],CAT_MOD_v31[COLOR],"",0)</f>
        <v>Perla</v>
      </c>
      <c r="G475" s="2">
        <f>_xlfn.XLOOKUP(Cat_SKU[[#This Row],[Item]],CAT_MOD_v31[NÚMERO DE ARTÍCULO (SAP)],CAT_MOD_v31[AÑO],"",0)</f>
        <v>2024</v>
      </c>
    </row>
    <row r="476" spans="1:7" x14ac:dyDescent="0.35">
      <c r="A476" t="s">
        <v>103</v>
      </c>
      <c r="B476" s="1">
        <v>1150087801</v>
      </c>
      <c r="D476" t="s">
        <v>292</v>
      </c>
      <c r="E476" s="2" t="str">
        <f>_xlfn.XLOOKUP(Cat_SKU[[#This Row],[Item]],CAT_MOD_v31[NÚMERO DE ARTÍCULO (SAP)],CAT_MOD_v31[RESUMIDO],"",0)</f>
        <v>Pulsar NS160 UG</v>
      </c>
      <c r="F476" s="2" t="str">
        <f>_xlfn.XLOOKUP(Cat_SKU[[#This Row],[Item]],CAT_MOD_v31[NÚMERO DE ARTÍCULO (SAP)],CAT_MOD_v31[COLOR],"",0)</f>
        <v>Gris</v>
      </c>
      <c r="G476" s="2">
        <f>_xlfn.XLOOKUP(Cat_SKU[[#This Row],[Item]],CAT_MOD_v31[NÚMERO DE ARTÍCULO (SAP)],CAT_MOD_v31[AÑO],"",0)</f>
        <v>2024</v>
      </c>
    </row>
    <row r="477" spans="1:7" x14ac:dyDescent="0.35">
      <c r="A477" t="s">
        <v>103</v>
      </c>
      <c r="B477" s="1">
        <v>1150087810</v>
      </c>
      <c r="D477" t="s">
        <v>295</v>
      </c>
      <c r="E477" s="2" t="str">
        <f>_xlfn.XLOOKUP(Cat_SKU[[#This Row],[Item]],CAT_MOD_v31[NÚMERO DE ARTÍCULO (SAP)],CAT_MOD_v31[RESUMIDO],"",0)</f>
        <v>Pulsar NS160 UG</v>
      </c>
      <c r="F477" s="2" t="str">
        <f>_xlfn.XLOOKUP(Cat_SKU[[#This Row],[Item]],CAT_MOD_v31[NÚMERO DE ARTÍCULO (SAP)],CAT_MOD_v31[COLOR],"",0)</f>
        <v>Perla</v>
      </c>
      <c r="G477" s="2">
        <f>_xlfn.XLOOKUP(Cat_SKU[[#This Row],[Item]],CAT_MOD_v31[NÚMERO DE ARTÍCULO (SAP)],CAT_MOD_v31[AÑO],"",0)</f>
        <v>2024</v>
      </c>
    </row>
    <row r="478" spans="1:7" x14ac:dyDescent="0.35">
      <c r="A478" t="s">
        <v>103</v>
      </c>
      <c r="B478" s="1">
        <v>1150088123</v>
      </c>
      <c r="D478" t="s">
        <v>277</v>
      </c>
      <c r="E478" s="2" t="str">
        <f>_xlfn.XLOOKUP(Cat_SKU[[#This Row],[Item]],CAT_MOD_v31[NÚMERO DE ARTÍCULO (SAP)],CAT_MOD_v31[RESUMIDO],"",0)</f>
        <v>Pulsar NS160 UG</v>
      </c>
      <c r="F478" s="2" t="str">
        <f>_xlfn.XLOOKUP(Cat_SKU[[#This Row],[Item]],CAT_MOD_v31[NÚMERO DE ARTÍCULO (SAP)],CAT_MOD_v31[COLOR],"",0)</f>
        <v>Negro</v>
      </c>
      <c r="G478" s="2">
        <f>_xlfn.XLOOKUP(Cat_SKU[[#This Row],[Item]],CAT_MOD_v31[NÚMERO DE ARTÍCULO (SAP)],CAT_MOD_v31[AÑO],"",0)</f>
        <v>2024</v>
      </c>
    </row>
    <row r="479" spans="1:7" x14ac:dyDescent="0.35">
      <c r="A479" t="s">
        <v>103</v>
      </c>
      <c r="B479" s="1">
        <v>1150088131</v>
      </c>
      <c r="D479" t="s">
        <v>302</v>
      </c>
      <c r="E479" s="2" t="str">
        <f>_xlfn.XLOOKUP(Cat_SKU[[#This Row],[Item]],CAT_MOD_v31[NÚMERO DE ARTÍCULO (SAP)],CAT_MOD_v31[RESUMIDO],"",0)</f>
        <v>Pulsar NS200 UG</v>
      </c>
      <c r="F479" s="2" t="str">
        <f>_xlfn.XLOOKUP(Cat_SKU[[#This Row],[Item]],CAT_MOD_v31[NÚMERO DE ARTÍCULO (SAP)],CAT_MOD_v31[COLOR],"",0)</f>
        <v>Gris</v>
      </c>
      <c r="G479" s="2">
        <f>_xlfn.XLOOKUP(Cat_SKU[[#This Row],[Item]],CAT_MOD_v31[NÚMERO DE ARTÍCULO (SAP)],CAT_MOD_v31[AÑO],"",0)</f>
        <v>2024</v>
      </c>
    </row>
    <row r="480" spans="1:7" x14ac:dyDescent="0.35">
      <c r="A480" t="s">
        <v>103</v>
      </c>
      <c r="B480" s="1">
        <v>1150088140</v>
      </c>
      <c r="D480" t="s">
        <v>298</v>
      </c>
      <c r="E480" s="2" t="str">
        <f>_xlfn.XLOOKUP(Cat_SKU[[#This Row],[Item]],CAT_MOD_v31[NÚMERO DE ARTÍCULO (SAP)],CAT_MOD_v31[RESUMIDO],"",0)</f>
        <v>Pulsar NS200 UG</v>
      </c>
      <c r="F480" s="2" t="str">
        <f>_xlfn.XLOOKUP(Cat_SKU[[#This Row],[Item]],CAT_MOD_v31[NÚMERO DE ARTÍCULO (SAP)],CAT_MOD_v31[COLOR],"",0)</f>
        <v>Perla</v>
      </c>
      <c r="G480" s="2">
        <f>_xlfn.XLOOKUP(Cat_SKU[[#This Row],[Item]],CAT_MOD_v31[NÚMERO DE ARTÍCULO (SAP)],CAT_MOD_v31[AÑO],"",0)</f>
        <v>2024</v>
      </c>
    </row>
    <row r="481" spans="1:7" x14ac:dyDescent="0.35">
      <c r="A481" t="s">
        <v>103</v>
      </c>
      <c r="B481" s="1">
        <v>1150088158</v>
      </c>
      <c r="D481" t="s">
        <v>291</v>
      </c>
      <c r="E481" s="2" t="str">
        <f>_xlfn.XLOOKUP(Cat_SKU[[#This Row],[Item]],CAT_MOD_v31[NÚMERO DE ARTÍCULO (SAP)],CAT_MOD_v31[RESUMIDO],"",0)</f>
        <v>Pulsar NS200 UG</v>
      </c>
      <c r="F481" s="2" t="str">
        <f>_xlfn.XLOOKUP(Cat_SKU[[#This Row],[Item]],CAT_MOD_v31[NÚMERO DE ARTÍCULO (SAP)],CAT_MOD_v31[COLOR],"",0)</f>
        <v>Negro</v>
      </c>
      <c r="G481" s="2">
        <f>_xlfn.XLOOKUP(Cat_SKU[[#This Row],[Item]],CAT_MOD_v31[NÚMERO DE ARTÍCULO (SAP)],CAT_MOD_v31[AÑO],"",0)</f>
        <v>2024</v>
      </c>
    </row>
    <row r="482" spans="1:7" x14ac:dyDescent="0.35">
      <c r="A482" t="s">
        <v>103</v>
      </c>
      <c r="B482" s="1">
        <v>1150133803</v>
      </c>
      <c r="D482" t="s">
        <v>289</v>
      </c>
      <c r="E482" s="2" t="str">
        <f>_xlfn.XLOOKUP(Cat_SKU[[#This Row],[Item]],CAT_MOD_v31[NÚMERO DE ARTÍCULO (SAP)],CAT_MOD_v31[RESUMIDO],"",0)</f>
        <v>Pulsar NS125 UG</v>
      </c>
      <c r="F482" s="2" t="str">
        <f>_xlfn.XLOOKUP(Cat_SKU[[#This Row],[Item]],CAT_MOD_v31[NÚMERO DE ARTÍCULO (SAP)],CAT_MOD_v31[COLOR],"",0)</f>
        <v>Gris</v>
      </c>
      <c r="G482" s="2">
        <f>_xlfn.XLOOKUP(Cat_SKU[[#This Row],[Item]],CAT_MOD_v31[NÚMERO DE ARTÍCULO (SAP)],CAT_MOD_v31[AÑO],"",0)</f>
        <v>2024</v>
      </c>
    </row>
    <row r="483" spans="1:7" x14ac:dyDescent="0.35">
      <c r="A483" t="s">
        <v>103</v>
      </c>
      <c r="B483" s="1">
        <v>1150133803</v>
      </c>
      <c r="C483" t="s">
        <v>780</v>
      </c>
      <c r="D483" t="s">
        <v>290</v>
      </c>
      <c r="E483" s="2" t="str">
        <f>_xlfn.XLOOKUP(Cat_SKU[[#This Row],[Item]],CAT_MOD_v31[NÚMERO DE ARTÍCULO (SAP)],CAT_MOD_v31[RESUMIDO],"",0)</f>
        <v>Pulsar NS125 UG</v>
      </c>
      <c r="F483" s="2" t="str">
        <f>_xlfn.XLOOKUP(Cat_SKU[[#This Row],[Item]],CAT_MOD_v31[NÚMERO DE ARTÍCULO (SAP)],CAT_MOD_v31[COLOR],"",0)</f>
        <v>Naranja</v>
      </c>
      <c r="G483" s="2">
        <f>_xlfn.XLOOKUP(Cat_SKU[[#This Row],[Item]],CAT_MOD_v31[NÚMERO DE ARTÍCULO (SAP)],CAT_MOD_v31[AÑO],"",0)</f>
        <v>2024</v>
      </c>
    </row>
    <row r="484" spans="1:7" x14ac:dyDescent="0.35">
      <c r="A484" t="s">
        <v>103</v>
      </c>
      <c r="B484" s="1">
        <v>1150133811</v>
      </c>
      <c r="D484" t="s">
        <v>352</v>
      </c>
      <c r="E484" s="2" t="str">
        <f>_xlfn.XLOOKUP(Cat_SKU[[#This Row],[Item]],CAT_MOD_v31[NÚMERO DE ARTÍCULO (SAP)],CAT_MOD_v31[RESUMIDO],"",0)</f>
        <v>Pulsar LS125</v>
      </c>
      <c r="F484" s="2" t="str">
        <f>_xlfn.XLOOKUP(Cat_SKU[[#This Row],[Item]],CAT_MOD_v31[NÚMERO DE ARTÍCULO (SAP)],CAT_MOD_v31[COLOR],"",0)</f>
        <v>Negro</v>
      </c>
      <c r="G484" s="2">
        <f>_xlfn.XLOOKUP(Cat_SKU[[#This Row],[Item]],CAT_MOD_v31[NÚMERO DE ARTÍCULO (SAP)],CAT_MOD_v31[AÑO],"",0)</f>
        <v>2024</v>
      </c>
    </row>
    <row r="485" spans="1:7" x14ac:dyDescent="0.35">
      <c r="A485" t="s">
        <v>103</v>
      </c>
      <c r="B485" s="1">
        <v>1150133811</v>
      </c>
      <c r="C485" t="s">
        <v>780</v>
      </c>
      <c r="D485" t="s">
        <v>289</v>
      </c>
      <c r="E485" s="2" t="str">
        <f>_xlfn.XLOOKUP(Cat_SKU[[#This Row],[Item]],CAT_MOD_v31[NÚMERO DE ARTÍCULO (SAP)],CAT_MOD_v31[RESUMIDO],"",0)</f>
        <v>Pulsar NS125 UG</v>
      </c>
      <c r="F485" s="2" t="str">
        <f>_xlfn.XLOOKUP(Cat_SKU[[#This Row],[Item]],CAT_MOD_v31[NÚMERO DE ARTÍCULO (SAP)],CAT_MOD_v31[COLOR],"",0)</f>
        <v>Gris</v>
      </c>
      <c r="G485" s="2">
        <f>_xlfn.XLOOKUP(Cat_SKU[[#This Row],[Item]],CAT_MOD_v31[NÚMERO DE ARTÍCULO (SAP)],CAT_MOD_v31[AÑO],"",0)</f>
        <v>2024</v>
      </c>
    </row>
    <row r="486" spans="1:7" x14ac:dyDescent="0.35">
      <c r="A486" t="s">
        <v>103</v>
      </c>
      <c r="B486" s="1">
        <v>1162934089</v>
      </c>
      <c r="C486" t="s">
        <v>142</v>
      </c>
      <c r="D486" t="s">
        <v>256</v>
      </c>
      <c r="E486" s="2" t="str">
        <f>_xlfn.XLOOKUP(Cat_SKU[[#This Row],[Item]],CAT_MOD_v31[NÚMERO DE ARTÍCULO (SAP)],CAT_MOD_v31[RESUMIDO],"",0)</f>
        <v>Boxer BM150</v>
      </c>
      <c r="F486" s="2" t="str">
        <f>_xlfn.XLOOKUP(Cat_SKU[[#This Row],[Item]],CAT_MOD_v31[NÚMERO DE ARTÍCULO (SAP)],CAT_MOD_v31[COLOR],"",0)</f>
        <v>Blanco</v>
      </c>
      <c r="G486" s="2">
        <f>_xlfn.XLOOKUP(Cat_SKU[[#This Row],[Item]],CAT_MOD_v31[NÚMERO DE ARTÍCULO (SAP)],CAT_MOD_v31[AÑO],"",0)</f>
        <v>2025</v>
      </c>
    </row>
    <row r="487" spans="1:7" x14ac:dyDescent="0.35">
      <c r="A487" t="s">
        <v>103</v>
      </c>
      <c r="B487" s="1">
        <v>1162934097</v>
      </c>
      <c r="C487" t="s">
        <v>143</v>
      </c>
      <c r="D487" t="s">
        <v>257</v>
      </c>
      <c r="E487" s="2" t="str">
        <f>_xlfn.XLOOKUP(Cat_SKU[[#This Row],[Item]],CAT_MOD_v31[NÚMERO DE ARTÍCULO (SAP)],CAT_MOD_v31[RESUMIDO],"",0)</f>
        <v>Boxer BM150</v>
      </c>
      <c r="F487" s="2" t="str">
        <f>_xlfn.XLOOKUP(Cat_SKU[[#This Row],[Item]],CAT_MOD_v31[NÚMERO DE ARTÍCULO (SAP)],CAT_MOD_v31[COLOR],"",0)</f>
        <v>Negro</v>
      </c>
      <c r="G487" s="2">
        <f>_xlfn.XLOOKUP(Cat_SKU[[#This Row],[Item]],CAT_MOD_v31[NÚMERO DE ARTÍCULO (SAP)],CAT_MOD_v31[AÑO],"",0)</f>
        <v>2025</v>
      </c>
    </row>
    <row r="488" spans="1:7" x14ac:dyDescent="0.35">
      <c r="A488" t="s">
        <v>103</v>
      </c>
      <c r="B488" s="1">
        <v>1163216872</v>
      </c>
      <c r="C488" t="s">
        <v>144</v>
      </c>
      <c r="D488" t="s">
        <v>255</v>
      </c>
      <c r="E488" s="2" t="str">
        <f>_xlfn.XLOOKUP(Cat_SKU[[#This Row],[Item]],CAT_MOD_v31[NÚMERO DE ARTÍCULO (SAP)],CAT_MOD_v31[RESUMIDO],"",0)</f>
        <v>Avenger Cruise 220</v>
      </c>
      <c r="F488" s="2" t="str">
        <f>_xlfn.XLOOKUP(Cat_SKU[[#This Row],[Item]],CAT_MOD_v31[NÚMERO DE ARTÍCULO (SAP)],CAT_MOD_v31[COLOR],"",0)</f>
        <v>Negro</v>
      </c>
      <c r="G488" s="2">
        <f>_xlfn.XLOOKUP(Cat_SKU[[#This Row],[Item]],CAT_MOD_v31[NÚMERO DE ARTÍCULO (SAP)],CAT_MOD_v31[AÑO],"",0)</f>
        <v>2025</v>
      </c>
    </row>
    <row r="489" spans="1:7" x14ac:dyDescent="0.35">
      <c r="A489" t="s">
        <v>103</v>
      </c>
      <c r="B489" s="1">
        <v>1163382853</v>
      </c>
      <c r="C489" t="s">
        <v>128</v>
      </c>
      <c r="D489" t="s">
        <v>268</v>
      </c>
      <c r="E489" s="2" t="str">
        <f>_xlfn.XLOOKUP(Cat_SKU[[#This Row],[Item]],CAT_MOD_v31[NÚMERO DE ARTÍCULO (SAP)],CAT_MOD_v31[RESUMIDO],"",0)</f>
        <v>Pulsar N160 FI ABS</v>
      </c>
      <c r="F489" s="2" t="str">
        <f>_xlfn.XLOOKUP(Cat_SKU[[#This Row],[Item]],CAT_MOD_v31[NÚMERO DE ARTÍCULO (SAP)],CAT_MOD_v31[COLOR],"",0)</f>
        <v>Negro</v>
      </c>
      <c r="G489" s="2">
        <f>_xlfn.XLOOKUP(Cat_SKU[[#This Row],[Item]],CAT_MOD_v31[NÚMERO DE ARTÍCULO (SAP)],CAT_MOD_v31[AÑO],"",0)</f>
        <v>2025</v>
      </c>
    </row>
    <row r="490" spans="1:7" x14ac:dyDescent="0.35">
      <c r="A490" t="s">
        <v>103</v>
      </c>
      <c r="B490" s="1">
        <v>1163382861</v>
      </c>
      <c r="C490" t="s">
        <v>124</v>
      </c>
      <c r="D490" t="s">
        <v>274</v>
      </c>
      <c r="E490" s="2" t="str">
        <f>_xlfn.XLOOKUP(Cat_SKU[[#This Row],[Item]],CAT_MOD_v31[NÚMERO DE ARTÍCULO (SAP)],CAT_MOD_v31[RESUMIDO],"",0)</f>
        <v>Pulsar N250 FI ABS</v>
      </c>
      <c r="F490" s="2" t="str">
        <f>_xlfn.XLOOKUP(Cat_SKU[[#This Row],[Item]],CAT_MOD_v31[NÚMERO DE ARTÍCULO (SAP)],CAT_MOD_v31[COLOR],"",0)</f>
        <v>Negro</v>
      </c>
      <c r="G490" s="2">
        <f>_xlfn.XLOOKUP(Cat_SKU[[#This Row],[Item]],CAT_MOD_v31[NÚMERO DE ARTÍCULO (SAP)],CAT_MOD_v31[AÑO],"",0)</f>
        <v>2025</v>
      </c>
    </row>
    <row r="491" spans="1:7" x14ac:dyDescent="0.35">
      <c r="A491" t="s">
        <v>103</v>
      </c>
      <c r="B491" s="1">
        <v>1163382870</v>
      </c>
      <c r="C491" t="s">
        <v>126</v>
      </c>
      <c r="D491" t="s">
        <v>300</v>
      </c>
      <c r="E491" s="2" t="str">
        <f>_xlfn.XLOOKUP(Cat_SKU[[#This Row],[Item]],CAT_MOD_v31[NÚMERO DE ARTÍCULO (SAP)],CAT_MOD_v31[RESUMIDO],"",0)</f>
        <v>Pulsar N250 FI ABS</v>
      </c>
      <c r="F491" s="2" t="str">
        <f>_xlfn.XLOOKUP(Cat_SKU[[#This Row],[Item]],CAT_MOD_v31[NÚMERO DE ARTÍCULO (SAP)],CAT_MOD_v31[COLOR],"",0)</f>
        <v>Rojo</v>
      </c>
      <c r="G491" s="2">
        <f>_xlfn.XLOOKUP(Cat_SKU[[#This Row],[Item]],CAT_MOD_v31[NÚMERO DE ARTÍCULO (SAP)],CAT_MOD_v31[AÑO],"",0)</f>
        <v>2025</v>
      </c>
    </row>
    <row r="492" spans="1:7" x14ac:dyDescent="0.35">
      <c r="A492" t="s">
        <v>103</v>
      </c>
      <c r="B492" s="1">
        <v>1163577387</v>
      </c>
      <c r="C492" t="s">
        <v>105</v>
      </c>
      <c r="D492" t="s">
        <v>287</v>
      </c>
      <c r="E492" s="2" t="str">
        <f>_xlfn.XLOOKUP(Cat_SKU[[#This Row],[Item]],CAT_MOD_v31[NÚMERO DE ARTÍCULO (SAP)],CAT_MOD_v31[RESUMIDO],"",0)</f>
        <v>Pulsar RS200</v>
      </c>
      <c r="F492" s="2" t="str">
        <f>_xlfn.XLOOKUP(Cat_SKU[[#This Row],[Item]],CAT_MOD_v31[NÚMERO DE ARTÍCULO (SAP)],CAT_MOD_v31[COLOR],"",0)</f>
        <v>Perla</v>
      </c>
      <c r="G492" s="2">
        <f>_xlfn.XLOOKUP(Cat_SKU[[#This Row],[Item]],CAT_MOD_v31[NÚMERO DE ARTÍCULO (SAP)],CAT_MOD_v31[AÑO],"",0)</f>
        <v>2025</v>
      </c>
    </row>
    <row r="493" spans="1:7" x14ac:dyDescent="0.35">
      <c r="A493" t="s">
        <v>103</v>
      </c>
      <c r="B493" s="1">
        <v>1163577930</v>
      </c>
      <c r="C493" t="s">
        <v>140</v>
      </c>
      <c r="D493" t="s">
        <v>259</v>
      </c>
      <c r="E493" s="2" t="str">
        <f>_xlfn.XLOOKUP(Cat_SKU[[#This Row],[Item]],CAT_MOD_v31[NÚMERO DE ARTÍCULO (SAP)],CAT_MOD_v31[RESUMIDO],"",0)</f>
        <v>Dominar 250</v>
      </c>
      <c r="F493" s="2" t="str">
        <f>_xlfn.XLOOKUP(Cat_SKU[[#This Row],[Item]],CAT_MOD_v31[NÚMERO DE ARTÍCULO (SAP)],CAT_MOD_v31[COLOR],"",0)</f>
        <v>Negro</v>
      </c>
      <c r="G493" s="2">
        <f>_xlfn.XLOOKUP(Cat_SKU[[#This Row],[Item]],CAT_MOD_v31[NÚMERO DE ARTÍCULO (SAP)],CAT_MOD_v31[AÑO],"",0)</f>
        <v>2025</v>
      </c>
    </row>
    <row r="494" spans="1:7" x14ac:dyDescent="0.35">
      <c r="A494" t="s">
        <v>103</v>
      </c>
      <c r="B494" s="1">
        <v>1163577948</v>
      </c>
      <c r="C494" t="s">
        <v>141</v>
      </c>
      <c r="D494" t="s">
        <v>260</v>
      </c>
      <c r="E494" s="2" t="str">
        <f>_xlfn.XLOOKUP(Cat_SKU[[#This Row],[Item]],CAT_MOD_v31[NÚMERO DE ARTÍCULO (SAP)],CAT_MOD_v31[RESUMIDO],"",0)</f>
        <v>Dominar 250</v>
      </c>
      <c r="F494" s="2" t="str">
        <f>_xlfn.XLOOKUP(Cat_SKU[[#This Row],[Item]],CAT_MOD_v31[NÚMERO DE ARTÍCULO (SAP)],CAT_MOD_v31[COLOR],"",0)</f>
        <v>Rojo</v>
      </c>
      <c r="G494" s="2">
        <f>_xlfn.XLOOKUP(Cat_SKU[[#This Row],[Item]],CAT_MOD_v31[NÚMERO DE ARTÍCULO (SAP)],CAT_MOD_v31[AÑO],"",0)</f>
        <v>2025</v>
      </c>
    </row>
    <row r="495" spans="1:7" x14ac:dyDescent="0.35">
      <c r="A495" t="s">
        <v>103</v>
      </c>
      <c r="B495" s="1">
        <v>1163577956</v>
      </c>
      <c r="C495" t="s">
        <v>137</v>
      </c>
      <c r="D495" t="s">
        <v>258</v>
      </c>
      <c r="E495" s="2" t="str">
        <f>_xlfn.XLOOKUP(Cat_SKU[[#This Row],[Item]],CAT_MOD_v31[NÚMERO DE ARTÍCULO (SAP)],CAT_MOD_v31[RESUMIDO],"",0)</f>
        <v>Dominar 400</v>
      </c>
      <c r="F495" s="2" t="str">
        <f>_xlfn.XLOOKUP(Cat_SKU[[#This Row],[Item]],CAT_MOD_v31[NÚMERO DE ARTÍCULO (SAP)],CAT_MOD_v31[COLOR],"",0)</f>
        <v>Negro</v>
      </c>
      <c r="G495" s="2">
        <f>_xlfn.XLOOKUP(Cat_SKU[[#This Row],[Item]],CAT_MOD_v31[NÚMERO DE ARTÍCULO (SAP)],CAT_MOD_v31[AÑO],"",0)</f>
        <v>2025</v>
      </c>
    </row>
    <row r="496" spans="1:7" x14ac:dyDescent="0.35">
      <c r="A496" t="s">
        <v>103</v>
      </c>
      <c r="B496" s="1">
        <v>1163577964</v>
      </c>
      <c r="C496" t="s">
        <v>139</v>
      </c>
      <c r="D496" t="s">
        <v>261</v>
      </c>
      <c r="E496" s="2" t="str">
        <f>_xlfn.XLOOKUP(Cat_SKU[[#This Row],[Item]],CAT_MOD_v31[NÚMERO DE ARTÍCULO (SAP)],CAT_MOD_v31[RESUMIDO],"",0)</f>
        <v>Dominar 400</v>
      </c>
      <c r="F496" s="2" t="str">
        <f>_xlfn.XLOOKUP(Cat_SKU[[#This Row],[Item]],CAT_MOD_v31[NÚMERO DE ARTÍCULO (SAP)],CAT_MOD_v31[COLOR],"",0)</f>
        <v>Verde</v>
      </c>
      <c r="G496" s="2">
        <f>_xlfn.XLOOKUP(Cat_SKU[[#This Row],[Item]],CAT_MOD_v31[NÚMERO DE ARTÍCULO (SAP)],CAT_MOD_v31[AÑO],"",0)</f>
        <v>2025</v>
      </c>
    </row>
    <row r="497" spans="1:7" x14ac:dyDescent="0.35">
      <c r="A497" t="s">
        <v>103</v>
      </c>
      <c r="B497" s="1">
        <v>1163577972</v>
      </c>
      <c r="C497" t="s">
        <v>113</v>
      </c>
      <c r="D497" t="s">
        <v>265</v>
      </c>
      <c r="E497" s="2" t="str">
        <f>_xlfn.XLOOKUP(Cat_SKU[[#This Row],[Item]],CAT_MOD_v31[NÚMERO DE ARTÍCULO (SAP)],CAT_MOD_v31[RESUMIDO],"",0)</f>
        <v>Pulsar NS125 UG</v>
      </c>
      <c r="F497" s="2" t="str">
        <f>_xlfn.XLOOKUP(Cat_SKU[[#This Row],[Item]],CAT_MOD_v31[NÚMERO DE ARTÍCULO (SAP)],CAT_MOD_v31[COLOR],"",0)</f>
        <v>Gris</v>
      </c>
      <c r="G497" s="2">
        <f>_xlfn.XLOOKUP(Cat_SKU[[#This Row],[Item]],CAT_MOD_v31[NÚMERO DE ARTÍCULO (SAP)],CAT_MOD_v31[AÑO],"",0)</f>
        <v>2025</v>
      </c>
    </row>
    <row r="498" spans="1:7" x14ac:dyDescent="0.35">
      <c r="A498" t="s">
        <v>103</v>
      </c>
      <c r="B498" s="1">
        <v>1163577981</v>
      </c>
      <c r="C498" t="s">
        <v>114</v>
      </c>
      <c r="D498" t="s">
        <v>269</v>
      </c>
      <c r="E498" s="2" t="str">
        <f>_xlfn.XLOOKUP(Cat_SKU[[#This Row],[Item]],CAT_MOD_v31[NÚMERO DE ARTÍCULO (SAP)],CAT_MOD_v31[RESUMIDO],"",0)</f>
        <v>Pulsar NS125 UG</v>
      </c>
      <c r="F498" s="2" t="str">
        <f>_xlfn.XLOOKUP(Cat_SKU[[#This Row],[Item]],CAT_MOD_v31[NÚMERO DE ARTÍCULO (SAP)],CAT_MOD_v31[COLOR],"",0)</f>
        <v>Naranja</v>
      </c>
      <c r="G498" s="2">
        <f>_xlfn.XLOOKUP(Cat_SKU[[#This Row],[Item]],CAT_MOD_v31[NÚMERO DE ARTÍCULO (SAP)],CAT_MOD_v31[AÑO],"",0)</f>
        <v>2025</v>
      </c>
    </row>
    <row r="499" spans="1:7" x14ac:dyDescent="0.35">
      <c r="A499" t="s">
        <v>103</v>
      </c>
      <c r="B499" s="1">
        <v>1163577999</v>
      </c>
      <c r="C499" t="s">
        <v>106</v>
      </c>
      <c r="D499" t="s">
        <v>282</v>
      </c>
      <c r="E499" s="2" t="str">
        <f>_xlfn.XLOOKUP(Cat_SKU[[#This Row],[Item]],CAT_MOD_v31[NÚMERO DE ARTÍCULO (SAP)],CAT_MOD_v31[RESUMIDO],"",0)</f>
        <v>Pulsar NS160 UG</v>
      </c>
      <c r="F499" s="2" t="str">
        <f>_xlfn.XLOOKUP(Cat_SKU[[#This Row],[Item]],CAT_MOD_v31[NÚMERO DE ARTÍCULO (SAP)],CAT_MOD_v31[COLOR],"",0)</f>
        <v>Gris</v>
      </c>
      <c r="G499" s="2">
        <f>_xlfn.XLOOKUP(Cat_SKU[[#This Row],[Item]],CAT_MOD_v31[NÚMERO DE ARTÍCULO (SAP)],CAT_MOD_v31[AÑO],"",0)</f>
        <v>2025</v>
      </c>
    </row>
    <row r="500" spans="1:7" x14ac:dyDescent="0.35">
      <c r="A500" t="s">
        <v>103</v>
      </c>
      <c r="B500" s="1">
        <v>1163578006</v>
      </c>
      <c r="C500" t="s">
        <v>108</v>
      </c>
      <c r="D500" t="s">
        <v>266</v>
      </c>
      <c r="E500" s="2" t="str">
        <f>_xlfn.XLOOKUP(Cat_SKU[[#This Row],[Item]],CAT_MOD_v31[NÚMERO DE ARTÍCULO (SAP)],CAT_MOD_v31[RESUMIDO],"",0)</f>
        <v>Pulsar NS160 UG</v>
      </c>
      <c r="F500" s="2" t="str">
        <f>_xlfn.XLOOKUP(Cat_SKU[[#This Row],[Item]],CAT_MOD_v31[NÚMERO DE ARTÍCULO (SAP)],CAT_MOD_v31[COLOR],"",0)</f>
        <v>Negro</v>
      </c>
      <c r="G500" s="2">
        <f>_xlfn.XLOOKUP(Cat_SKU[[#This Row],[Item]],CAT_MOD_v31[NÚMERO DE ARTÍCULO (SAP)],CAT_MOD_v31[AÑO],"",0)</f>
        <v>2025</v>
      </c>
    </row>
    <row r="501" spans="1:7" x14ac:dyDescent="0.35">
      <c r="A501" t="s">
        <v>103</v>
      </c>
      <c r="B501" s="1">
        <v>1163578014</v>
      </c>
      <c r="C501" t="s">
        <v>110</v>
      </c>
      <c r="D501" t="s">
        <v>267</v>
      </c>
      <c r="E501" s="2" t="str">
        <f>_xlfn.XLOOKUP(Cat_SKU[[#This Row],[Item]],CAT_MOD_v31[NÚMERO DE ARTÍCULO (SAP)],CAT_MOD_v31[RESUMIDO],"",0)</f>
        <v>Pulsar NS160 UG</v>
      </c>
      <c r="F501" s="2" t="str">
        <f>_xlfn.XLOOKUP(Cat_SKU[[#This Row],[Item]],CAT_MOD_v31[NÚMERO DE ARTÍCULO (SAP)],CAT_MOD_v31[COLOR],"",0)</f>
        <v>Perla</v>
      </c>
      <c r="G501" s="2">
        <f>_xlfn.XLOOKUP(Cat_SKU[[#This Row],[Item]],CAT_MOD_v31[NÚMERO DE ARTÍCULO (SAP)],CAT_MOD_v31[AÑO],"",0)</f>
        <v>2025</v>
      </c>
    </row>
    <row r="502" spans="1:7" x14ac:dyDescent="0.35">
      <c r="A502" t="s">
        <v>103</v>
      </c>
      <c r="B502" s="1">
        <v>1163578529</v>
      </c>
      <c r="C502" t="s">
        <v>119</v>
      </c>
      <c r="D502" t="s">
        <v>283</v>
      </c>
      <c r="E502" s="2" t="str">
        <f>_xlfn.XLOOKUP(Cat_SKU[[#This Row],[Item]],CAT_MOD_v31[NÚMERO DE ARTÍCULO (SAP)],CAT_MOD_v31[RESUMIDO],"",0)</f>
        <v>Pulsar NS200 UG</v>
      </c>
      <c r="F502" s="2" t="str">
        <f>_xlfn.XLOOKUP(Cat_SKU[[#This Row],[Item]],CAT_MOD_v31[NÚMERO DE ARTÍCULO (SAP)],CAT_MOD_v31[COLOR],"",0)</f>
        <v>Gris</v>
      </c>
      <c r="G502" s="2">
        <f>_xlfn.XLOOKUP(Cat_SKU[[#This Row],[Item]],CAT_MOD_v31[NÚMERO DE ARTÍCULO (SAP)],CAT_MOD_v31[AÑO],"",0)</f>
        <v>2025</v>
      </c>
    </row>
    <row r="503" spans="1:7" x14ac:dyDescent="0.35">
      <c r="A503" t="s">
        <v>103</v>
      </c>
      <c r="B503" s="1">
        <v>1163578537</v>
      </c>
      <c r="C503" t="s">
        <v>120</v>
      </c>
      <c r="D503" t="s">
        <v>285</v>
      </c>
      <c r="E503" s="2" t="str">
        <f>_xlfn.XLOOKUP(Cat_SKU[[#This Row],[Item]],CAT_MOD_v31[NÚMERO DE ARTÍCULO (SAP)],CAT_MOD_v31[RESUMIDO],"",0)</f>
        <v>Pulsar NS200 UG</v>
      </c>
      <c r="F503" s="2" t="str">
        <f>_xlfn.XLOOKUP(Cat_SKU[[#This Row],[Item]],CAT_MOD_v31[NÚMERO DE ARTÍCULO (SAP)],CAT_MOD_v31[COLOR],"",0)</f>
        <v>Negro</v>
      </c>
      <c r="G503" s="2">
        <f>_xlfn.XLOOKUP(Cat_SKU[[#This Row],[Item]],CAT_MOD_v31[NÚMERO DE ARTÍCULO (SAP)],CAT_MOD_v31[AÑO],"",0)</f>
        <v>2025</v>
      </c>
    </row>
    <row r="504" spans="1:7" x14ac:dyDescent="0.35">
      <c r="A504" t="s">
        <v>103</v>
      </c>
      <c r="B504" s="1">
        <v>1163578545</v>
      </c>
      <c r="C504" t="s">
        <v>121</v>
      </c>
      <c r="D504" t="s">
        <v>286</v>
      </c>
      <c r="E504" s="2" t="str">
        <f>_xlfn.XLOOKUP(Cat_SKU[[#This Row],[Item]],CAT_MOD_v31[NÚMERO DE ARTÍCULO (SAP)],CAT_MOD_v31[RESUMIDO],"",0)</f>
        <v>Pulsar NS200 UG</v>
      </c>
      <c r="F504" s="2" t="str">
        <f>_xlfn.XLOOKUP(Cat_SKU[[#This Row],[Item]],CAT_MOD_v31[NÚMERO DE ARTÍCULO (SAP)],CAT_MOD_v31[COLOR],"",0)</f>
        <v>Perla</v>
      </c>
      <c r="G504" s="2">
        <f>_xlfn.XLOOKUP(Cat_SKU[[#This Row],[Item]],CAT_MOD_v31[NÚMERO DE ARTÍCULO (SAP)],CAT_MOD_v31[AÑO],"",0)</f>
        <v>2025</v>
      </c>
    </row>
    <row r="505" spans="1:7" x14ac:dyDescent="0.35">
      <c r="A505" t="s">
        <v>103</v>
      </c>
      <c r="B505" s="1">
        <v>1163578553</v>
      </c>
      <c r="C505" t="s">
        <v>104</v>
      </c>
      <c r="D505" t="s">
        <v>284</v>
      </c>
      <c r="E505" s="2" t="str">
        <f>_xlfn.XLOOKUP(Cat_SKU[[#This Row],[Item]],CAT_MOD_v31[NÚMERO DE ARTÍCULO (SAP)],CAT_MOD_v31[RESUMIDO],"",0)</f>
        <v>Pulsar RS200</v>
      </c>
      <c r="F505" s="2" t="str">
        <f>_xlfn.XLOOKUP(Cat_SKU[[#This Row],[Item]],CAT_MOD_v31[NÚMERO DE ARTÍCULO (SAP)],CAT_MOD_v31[COLOR],"",0)</f>
        <v>Gris</v>
      </c>
      <c r="G505" s="2">
        <f>_xlfn.XLOOKUP(Cat_SKU[[#This Row],[Item]],CAT_MOD_v31[NÚMERO DE ARTÍCULO (SAP)],CAT_MOD_v31[AÑO],"",0)</f>
        <v>2025</v>
      </c>
    </row>
    <row r="506" spans="1:7" x14ac:dyDescent="0.35">
      <c r="A506" t="s">
        <v>103</v>
      </c>
      <c r="B506" s="1">
        <v>1164352052</v>
      </c>
      <c r="C506" t="s">
        <v>112</v>
      </c>
      <c r="D506" t="s">
        <v>369</v>
      </c>
      <c r="E506" s="2" t="str">
        <f>_xlfn.XLOOKUP(Cat_SKU[[#This Row],[Item]],CAT_MOD_v31[NÚMERO DE ARTÍCULO (SAP)],CAT_MOD_v31[RESUMIDO],"",0)</f>
        <v>Pulsar NS125 UG</v>
      </c>
      <c r="F506" s="2" t="str">
        <f>_xlfn.XLOOKUP(Cat_SKU[[#This Row],[Item]],CAT_MOD_v31[NÚMERO DE ARTÍCULO (SAP)],CAT_MOD_v31[COLOR],"",0)</f>
        <v>Azul</v>
      </c>
      <c r="G506" s="2">
        <f>_xlfn.XLOOKUP(Cat_SKU[[#This Row],[Item]],CAT_MOD_v31[NÚMERO DE ARTÍCULO (SAP)],CAT_MOD_v31[AÑO],"",0)</f>
        <v>2025</v>
      </c>
    </row>
    <row r="507" spans="1:7" x14ac:dyDescent="0.35">
      <c r="A507" t="s">
        <v>103</v>
      </c>
      <c r="B507" s="1">
        <v>1168496768</v>
      </c>
      <c r="C507" t="s">
        <v>134</v>
      </c>
      <c r="D507" t="s">
        <v>273</v>
      </c>
      <c r="E507" s="2" t="str">
        <f>_xlfn.XLOOKUP(Cat_SKU[[#This Row],[Item]],CAT_MOD_v31[NÚMERO DE ARTÍCULO (SAP)],CAT_MOD_v31[RESUMIDO],"",0)</f>
        <v>Pulsar N250</v>
      </c>
      <c r="F507" s="2" t="str">
        <f>_xlfn.XLOOKUP(Cat_SKU[[#This Row],[Item]],CAT_MOD_v31[NÚMERO DE ARTÍCULO (SAP)],CAT_MOD_v31[COLOR],"",0)</f>
        <v>Negro</v>
      </c>
      <c r="G507" s="2">
        <f>_xlfn.XLOOKUP(Cat_SKU[[#This Row],[Item]],CAT_MOD_v31[NÚMERO DE ARTÍCULO (SAP)],CAT_MOD_v31[AÑO],"",0)</f>
        <v>2025</v>
      </c>
    </row>
    <row r="508" spans="1:7" x14ac:dyDescent="0.35">
      <c r="A508" t="s">
        <v>103</v>
      </c>
      <c r="B508" s="1">
        <v>1170532844</v>
      </c>
      <c r="C508" t="s">
        <v>116</v>
      </c>
      <c r="D508" t="s">
        <v>278</v>
      </c>
      <c r="E508" s="2" t="str">
        <f>_xlfn.XLOOKUP(Cat_SKU[[#This Row],[Item]],CAT_MOD_v31[NÚMERO DE ARTÍCULO (SAP)],CAT_MOD_v31[RESUMIDO],"",0)</f>
        <v>Pulsar NS400z</v>
      </c>
      <c r="F508" s="2" t="str">
        <f>_xlfn.XLOOKUP(Cat_SKU[[#This Row],[Item]],CAT_MOD_v31[NÚMERO DE ARTÍCULO (SAP)],CAT_MOD_v31[COLOR],"",0)</f>
        <v>Negro</v>
      </c>
      <c r="G508" s="2">
        <f>_xlfn.XLOOKUP(Cat_SKU[[#This Row],[Item]],CAT_MOD_v31[NÚMERO DE ARTÍCULO (SAP)],CAT_MOD_v31[AÑO],"",0)</f>
        <v>2025</v>
      </c>
    </row>
    <row r="509" spans="1:7" x14ac:dyDescent="0.35">
      <c r="A509" t="s">
        <v>103</v>
      </c>
      <c r="B509" s="1">
        <v>1170532844</v>
      </c>
      <c r="C509" t="s">
        <v>813</v>
      </c>
      <c r="D509" t="s">
        <v>808</v>
      </c>
      <c r="E509" s="2" t="str">
        <f>_xlfn.XLOOKUP(Cat_SKU[[#This Row],[Item]],CAT_MOD_v31[NÚMERO DE ARTÍCULO (SAP)],CAT_MOD_v31[RESUMIDO],"",0)</f>
        <v>Pulsar NS400z</v>
      </c>
      <c r="F509" s="2" t="str">
        <f>_xlfn.XLOOKUP(Cat_SKU[[#This Row],[Item]],CAT_MOD_v31[NÚMERO DE ARTÍCULO (SAP)],CAT_MOD_v31[COLOR],"",0)</f>
        <v>Negro</v>
      </c>
      <c r="G509" s="2">
        <f>_xlfn.XLOOKUP(Cat_SKU[[#This Row],[Item]],CAT_MOD_v31[NÚMERO DE ARTÍCULO (SAP)],CAT_MOD_v31[AÑO],"",0)</f>
        <v>2025</v>
      </c>
    </row>
    <row r="510" spans="1:7" x14ac:dyDescent="0.35">
      <c r="A510" t="s">
        <v>103</v>
      </c>
      <c r="B510" s="1">
        <v>1170532852</v>
      </c>
      <c r="C510" t="s">
        <v>117</v>
      </c>
      <c r="D510" t="s">
        <v>281</v>
      </c>
      <c r="E510" s="2" t="str">
        <f>_xlfn.XLOOKUP(Cat_SKU[[#This Row],[Item]],CAT_MOD_v31[NÚMERO DE ARTÍCULO (SAP)],CAT_MOD_v31[RESUMIDO],"",0)</f>
        <v>Pulsar NS400z</v>
      </c>
      <c r="F510" s="2" t="str">
        <f>_xlfn.XLOOKUP(Cat_SKU[[#This Row],[Item]],CAT_MOD_v31[NÚMERO DE ARTÍCULO (SAP)],CAT_MOD_v31[COLOR],"",0)</f>
        <v>Perla</v>
      </c>
      <c r="G510" s="2">
        <f>_xlfn.XLOOKUP(Cat_SKU[[#This Row],[Item]],CAT_MOD_v31[NÚMERO DE ARTÍCULO (SAP)],CAT_MOD_v31[AÑO],"",0)</f>
        <v>2025</v>
      </c>
    </row>
    <row r="511" spans="1:7" x14ac:dyDescent="0.35">
      <c r="A511" t="s">
        <v>103</v>
      </c>
      <c r="B511" s="1">
        <v>1170532861</v>
      </c>
      <c r="C511" t="s">
        <v>118</v>
      </c>
      <c r="D511" t="s">
        <v>279</v>
      </c>
      <c r="E511" s="2" t="str">
        <f>_xlfn.XLOOKUP(Cat_SKU[[#This Row],[Item]],CAT_MOD_v31[NÚMERO DE ARTÍCULO (SAP)],CAT_MOD_v31[RESUMIDO],"",0)</f>
        <v>Pulsar NS400z</v>
      </c>
      <c r="F511" s="2" t="str">
        <f>_xlfn.XLOOKUP(Cat_SKU[[#This Row],[Item]],CAT_MOD_v31[NÚMERO DE ARTÍCULO (SAP)],CAT_MOD_v31[COLOR],"",0)</f>
        <v>Rojo</v>
      </c>
      <c r="G511" s="2">
        <f>_xlfn.XLOOKUP(Cat_SKU[[#This Row],[Item]],CAT_MOD_v31[NÚMERO DE ARTÍCULO (SAP)],CAT_MOD_v31[AÑO],"",0)</f>
        <v>2025</v>
      </c>
    </row>
    <row r="512" spans="1:7" x14ac:dyDescent="0.35">
      <c r="A512" t="s">
        <v>103</v>
      </c>
      <c r="B512" s="1">
        <v>1170532879</v>
      </c>
      <c r="C512" t="s">
        <v>115</v>
      </c>
      <c r="D512" t="s">
        <v>280</v>
      </c>
      <c r="E512" s="2" t="str">
        <f>_xlfn.XLOOKUP(Cat_SKU[[#This Row],[Item]],CAT_MOD_v31[NÚMERO DE ARTÍCULO (SAP)],CAT_MOD_v31[RESUMIDO],"",0)</f>
        <v>Pulsar NS400z</v>
      </c>
      <c r="F512" s="2" t="str">
        <f>_xlfn.XLOOKUP(Cat_SKU[[#This Row],[Item]],CAT_MOD_v31[NÚMERO DE ARTÍCULO (SAP)],CAT_MOD_v31[COLOR],"",0)</f>
        <v>Gris</v>
      </c>
      <c r="G512" s="2">
        <f>_xlfn.XLOOKUP(Cat_SKU[[#This Row],[Item]],CAT_MOD_v31[NÚMERO DE ARTÍCULO (SAP)],CAT_MOD_v31[AÑO],"",0)</f>
        <v>2025</v>
      </c>
    </row>
    <row r="513" spans="1:7" x14ac:dyDescent="0.35">
      <c r="A513" t="s">
        <v>103</v>
      </c>
      <c r="B513" s="1">
        <v>1170532887</v>
      </c>
      <c r="C513" t="s">
        <v>131</v>
      </c>
      <c r="D513" t="s">
        <v>276</v>
      </c>
      <c r="E513" s="2" t="str">
        <f>_xlfn.XLOOKUP(Cat_SKU[[#This Row],[Item]],CAT_MOD_v31[NÚMERO DE ARTÍCULO (SAP)],CAT_MOD_v31[RESUMIDO],"",0)</f>
        <v>Pulsar N250</v>
      </c>
      <c r="F513" s="2" t="str">
        <f>_xlfn.XLOOKUP(Cat_SKU[[#This Row],[Item]],CAT_MOD_v31[NÚMERO DE ARTÍCULO (SAP)],CAT_MOD_v31[COLOR],"",0)</f>
        <v>Amarillo</v>
      </c>
      <c r="G513" s="2">
        <f>_xlfn.XLOOKUP(Cat_SKU[[#This Row],[Item]],CAT_MOD_v31[NÚMERO DE ARTÍCULO (SAP)],CAT_MOD_v31[AÑO],"",0)</f>
        <v>2025</v>
      </c>
    </row>
    <row r="514" spans="1:7" x14ac:dyDescent="0.35">
      <c r="A514" t="s">
        <v>103</v>
      </c>
      <c r="B514" s="1">
        <v>1170532895</v>
      </c>
      <c r="C514" t="s">
        <v>132</v>
      </c>
      <c r="D514" t="s">
        <v>275</v>
      </c>
      <c r="E514" s="2" t="str">
        <f>_xlfn.XLOOKUP(Cat_SKU[[#This Row],[Item]],CAT_MOD_v31[NÚMERO DE ARTÍCULO (SAP)],CAT_MOD_v31[RESUMIDO],"",0)</f>
        <v>Pulsar N250</v>
      </c>
      <c r="F514" s="2" t="str">
        <f>_xlfn.XLOOKUP(Cat_SKU[[#This Row],[Item]],CAT_MOD_v31[NÚMERO DE ARTÍCULO (SAP)],CAT_MOD_v31[COLOR],"",0)</f>
        <v>Azul</v>
      </c>
      <c r="G514" s="2">
        <f>_xlfn.XLOOKUP(Cat_SKU[[#This Row],[Item]],CAT_MOD_v31[NÚMERO DE ARTÍCULO (SAP)],CAT_MOD_v31[AÑO],"",0)</f>
        <v>2025</v>
      </c>
    </row>
    <row r="515" spans="1:7" x14ac:dyDescent="0.35">
      <c r="A515" t="s">
        <v>103</v>
      </c>
      <c r="B515" s="1">
        <v>1174962941</v>
      </c>
      <c r="C515" t="s">
        <v>122</v>
      </c>
      <c r="D515" t="s">
        <v>359</v>
      </c>
      <c r="E515" s="2" t="str">
        <f>_xlfn.XLOOKUP(Cat_SKU[[#This Row],[Item]],CAT_MOD_v31[NÚMERO DE ARTÍCULO (SAP)],CAT_MOD_v31[RESUMIDO],"",0)</f>
        <v>Pulsar N250 FI ABS UG</v>
      </c>
      <c r="F515" s="2" t="str">
        <f>_xlfn.XLOOKUP(Cat_SKU[[#This Row],[Item]],CAT_MOD_v31[NÚMERO DE ARTÍCULO (SAP)],CAT_MOD_v31[COLOR],"",0)</f>
        <v>Negro</v>
      </c>
      <c r="G515" s="2">
        <f>_xlfn.XLOOKUP(Cat_SKU[[#This Row],[Item]],CAT_MOD_v31[NÚMERO DE ARTÍCULO (SAP)],CAT_MOD_v31[AÑO],"",0)</f>
        <v>2025</v>
      </c>
    </row>
    <row r="516" spans="1:7" x14ac:dyDescent="0.35">
      <c r="A516" t="s">
        <v>103</v>
      </c>
      <c r="B516" s="1">
        <v>1174962959</v>
      </c>
      <c r="C516" t="s">
        <v>123</v>
      </c>
      <c r="D516" t="s">
        <v>272</v>
      </c>
      <c r="E516" s="2" t="str">
        <f>_xlfn.XLOOKUP(Cat_SKU[[#This Row],[Item]],CAT_MOD_v31[NÚMERO DE ARTÍCULO (SAP)],CAT_MOD_v31[RESUMIDO],"",0)</f>
        <v>Pulsar N250 FI ABS UG</v>
      </c>
      <c r="F516" s="2" t="str">
        <f>_xlfn.XLOOKUP(Cat_SKU[[#This Row],[Item]],CAT_MOD_v31[NÚMERO DE ARTÍCULO (SAP)],CAT_MOD_v31[COLOR],"",0)</f>
        <v>Rojo</v>
      </c>
      <c r="G516" s="2">
        <f>_xlfn.XLOOKUP(Cat_SKU[[#This Row],[Item]],CAT_MOD_v31[NÚMERO DE ARTÍCULO (SAP)],CAT_MOD_v31[AÑO],"",0)</f>
        <v>2025</v>
      </c>
    </row>
    <row r="517" spans="1:7" x14ac:dyDescent="0.35">
      <c r="A517" t="s">
        <v>103</v>
      </c>
      <c r="B517" s="1">
        <v>1178836150</v>
      </c>
      <c r="C517" t="s">
        <v>136</v>
      </c>
      <c r="D517" t="s">
        <v>358</v>
      </c>
      <c r="E517" s="2" t="str">
        <f>_xlfn.XLOOKUP(Cat_SKU[[#This Row],[Item]],CAT_MOD_v31[NÚMERO DE ARTÍCULO (SAP)],CAT_MOD_v31[RESUMIDO],"",0)</f>
        <v>Pulsar N160 FI ABS UG</v>
      </c>
      <c r="F517" s="2" t="str">
        <f>_xlfn.XLOOKUP(Cat_SKU[[#This Row],[Item]],CAT_MOD_v31[NÚMERO DE ARTÍCULO (SAP)],CAT_MOD_v31[COLOR],"",0)</f>
        <v>Negro</v>
      </c>
      <c r="G517" s="2">
        <f>_xlfn.XLOOKUP(Cat_SKU[[#This Row],[Item]],CAT_MOD_v31[NÚMERO DE ARTÍCULO (SAP)],CAT_MOD_v31[AÑO],"",0)</f>
        <v>2025</v>
      </c>
    </row>
    <row r="518" spans="1:7" x14ac:dyDescent="0.35">
      <c r="A518" t="s">
        <v>103</v>
      </c>
      <c r="B518" s="1">
        <v>1183254142</v>
      </c>
      <c r="C518" t="s">
        <v>135</v>
      </c>
      <c r="D518" t="s">
        <v>305</v>
      </c>
      <c r="E518" s="2" t="str">
        <f>_xlfn.XLOOKUP(Cat_SKU[[#This Row],[Item]],CAT_MOD_v31[NÚMERO DE ARTÍCULO (SAP)],CAT_MOD_v31[RESUMIDO],"",0)</f>
        <v>Pulsar N250</v>
      </c>
      <c r="F518" s="2" t="str">
        <f>_xlfn.XLOOKUP(Cat_SKU[[#This Row],[Item]],CAT_MOD_v31[NÚMERO DE ARTÍCULO (SAP)],CAT_MOD_v31[COLOR],"",0)</f>
        <v>Negro</v>
      </c>
      <c r="G518" s="2">
        <f>_xlfn.XLOOKUP(Cat_SKU[[#This Row],[Item]],CAT_MOD_v31[NÚMERO DE ARTÍCULO (SAP)],CAT_MOD_v31[AÑO],"",0)</f>
        <v>2026</v>
      </c>
    </row>
    <row r="519" spans="1:7" x14ac:dyDescent="0.35">
      <c r="A519" t="s">
        <v>103</v>
      </c>
      <c r="B519" s="1">
        <v>1183254151</v>
      </c>
      <c r="C519" t="s">
        <v>125</v>
      </c>
      <c r="D519" t="s">
        <v>270</v>
      </c>
      <c r="E519" s="2" t="str">
        <f>_xlfn.XLOOKUP(Cat_SKU[[#This Row],[Item]],CAT_MOD_v31[NÚMERO DE ARTÍCULO (SAP)],CAT_MOD_v31[RESUMIDO],"",0)</f>
        <v>Pulsar N250 FI ABS</v>
      </c>
      <c r="F519" s="2" t="str">
        <f>_xlfn.XLOOKUP(Cat_SKU[[#This Row],[Item]],CAT_MOD_v31[NÚMERO DE ARTÍCULO (SAP)],CAT_MOD_v31[COLOR],"",0)</f>
        <v>Negro</v>
      </c>
      <c r="G519" s="2">
        <f>_xlfn.XLOOKUP(Cat_SKU[[#This Row],[Item]],CAT_MOD_v31[NÚMERO DE ARTÍCULO (SAP)],CAT_MOD_v31[AÑO],"",0)</f>
        <v>2026</v>
      </c>
    </row>
    <row r="520" spans="1:7" x14ac:dyDescent="0.35">
      <c r="A520" t="s">
        <v>103</v>
      </c>
      <c r="B520" s="1">
        <v>1184854208</v>
      </c>
      <c r="C520" t="s">
        <v>107</v>
      </c>
      <c r="D520" t="s">
        <v>310</v>
      </c>
      <c r="E520" s="2" t="str">
        <f>_xlfn.XLOOKUP(Cat_SKU[[#This Row],[Item]],CAT_MOD_v31[NÚMERO DE ARTÍCULO (SAP)],CAT_MOD_v31[RESUMIDO],"",0)</f>
        <v>Pulsar NS160 UG</v>
      </c>
      <c r="F520" s="2" t="str">
        <f>_xlfn.XLOOKUP(Cat_SKU[[#This Row],[Item]],CAT_MOD_v31[NÚMERO DE ARTÍCULO (SAP)],CAT_MOD_v31[COLOR],"",0)</f>
        <v>Gris</v>
      </c>
      <c r="G520" s="2">
        <f>_xlfn.XLOOKUP(Cat_SKU[[#This Row],[Item]],CAT_MOD_v31[NÚMERO DE ARTÍCULO (SAP)],CAT_MOD_v31[AÑO],"",0)</f>
        <v>2026</v>
      </c>
    </row>
    <row r="521" spans="1:7" x14ac:dyDescent="0.35">
      <c r="A521" t="s">
        <v>103</v>
      </c>
      <c r="B521" s="1">
        <v>1184855859</v>
      </c>
      <c r="C521" t="s">
        <v>109</v>
      </c>
      <c r="D521" t="s">
        <v>312</v>
      </c>
      <c r="E521" s="2" t="str">
        <f>_xlfn.XLOOKUP(Cat_SKU[[#This Row],[Item]],CAT_MOD_v31[NÚMERO DE ARTÍCULO (SAP)],CAT_MOD_v31[RESUMIDO],"",0)</f>
        <v>Pulsar NS160 UG</v>
      </c>
      <c r="F521" s="2" t="str">
        <f>_xlfn.XLOOKUP(Cat_SKU[[#This Row],[Item]],CAT_MOD_v31[NÚMERO DE ARTÍCULO (SAP)],CAT_MOD_v31[COLOR],"",0)</f>
        <v>Negro</v>
      </c>
      <c r="G521" s="2">
        <f>_xlfn.XLOOKUP(Cat_SKU[[#This Row],[Item]],CAT_MOD_v31[NÚMERO DE ARTÍCULO (SAP)],CAT_MOD_v31[AÑO],"",0)</f>
        <v>2026</v>
      </c>
    </row>
    <row r="522" spans="1:7" x14ac:dyDescent="0.35">
      <c r="A522" t="s">
        <v>103</v>
      </c>
      <c r="B522" s="1">
        <v>1184855867</v>
      </c>
      <c r="C522" t="s">
        <v>111</v>
      </c>
      <c r="D522" t="s">
        <v>311</v>
      </c>
      <c r="E522" s="2" t="str">
        <f>_xlfn.XLOOKUP(Cat_SKU[[#This Row],[Item]],CAT_MOD_v31[NÚMERO DE ARTÍCULO (SAP)],CAT_MOD_v31[RESUMIDO],"",0)</f>
        <v>Pulsar NS160 UG</v>
      </c>
      <c r="F522" s="2" t="str">
        <f>_xlfn.XLOOKUP(Cat_SKU[[#This Row],[Item]],CAT_MOD_v31[NÚMERO DE ARTÍCULO (SAP)],CAT_MOD_v31[COLOR],"",0)</f>
        <v>Perla</v>
      </c>
      <c r="G522" s="2">
        <f>_xlfn.XLOOKUP(Cat_SKU[[#This Row],[Item]],CAT_MOD_v31[NÚMERO DE ARTÍCULO (SAP)],CAT_MOD_v31[AÑO],"",0)</f>
        <v>2026</v>
      </c>
    </row>
    <row r="523" spans="1:7" x14ac:dyDescent="0.35">
      <c r="A523" t="s">
        <v>103</v>
      </c>
      <c r="B523" s="1">
        <v>1184855867</v>
      </c>
      <c r="C523" t="s">
        <v>817</v>
      </c>
      <c r="D523" t="s">
        <v>747</v>
      </c>
      <c r="E523" s="2" t="str">
        <f>_xlfn.XLOOKUP(Cat_SKU[[#This Row],[Item]],CAT_MOD_v31[NÚMERO DE ARTÍCULO (SAP)],CAT_MOD_v31[RESUMIDO],"",0)</f>
        <v>Pulsar NS160</v>
      </c>
      <c r="F523" s="2" t="str">
        <f>_xlfn.XLOOKUP(Cat_SKU[[#This Row],[Item]],CAT_MOD_v31[NÚMERO DE ARTÍCULO (SAP)],CAT_MOD_v31[COLOR],"",0)</f>
        <v>Perla</v>
      </c>
      <c r="G523" s="2">
        <f>_xlfn.XLOOKUP(Cat_SKU[[#This Row],[Item]],CAT_MOD_v31[NÚMERO DE ARTÍCULO (SAP)],CAT_MOD_v31[AÑO],"",0)</f>
        <v>2026</v>
      </c>
    </row>
    <row r="524" spans="1:7" x14ac:dyDescent="0.35">
      <c r="A524" t="s">
        <v>103</v>
      </c>
      <c r="B524" s="1">
        <v>1185952599</v>
      </c>
      <c r="C524" t="s">
        <v>129</v>
      </c>
      <c r="D524" t="s">
        <v>262</v>
      </c>
      <c r="E524" s="2" t="str">
        <f>_xlfn.XLOOKUP(Cat_SKU[[#This Row],[Item]],CAT_MOD_v31[NÚMERO DE ARTÍCULO (SAP)],CAT_MOD_v31[RESUMIDO],"",0)</f>
        <v>Pulsar N125 FI-CBS</v>
      </c>
      <c r="F524" s="2" t="str">
        <f>_xlfn.XLOOKUP(Cat_SKU[[#This Row],[Item]],CAT_MOD_v31[NÚMERO DE ARTÍCULO (SAP)],CAT_MOD_v31[COLOR],"",0)</f>
        <v>Purpura</v>
      </c>
      <c r="G524" s="2">
        <f>_xlfn.XLOOKUP(Cat_SKU[[#This Row],[Item]],CAT_MOD_v31[NÚMERO DE ARTÍCULO (SAP)],CAT_MOD_v31[AÑO],"",0)</f>
        <v>2026</v>
      </c>
    </row>
    <row r="525" spans="1:7" x14ac:dyDescent="0.35">
      <c r="A525" t="s">
        <v>103</v>
      </c>
      <c r="B525" s="1">
        <v>1185952602</v>
      </c>
      <c r="C525" t="s">
        <v>130</v>
      </c>
      <c r="D525" t="s">
        <v>263</v>
      </c>
      <c r="E525" s="2" t="str">
        <f>_xlfn.XLOOKUP(Cat_SKU[[#This Row],[Item]],CAT_MOD_v31[NÚMERO DE ARTÍCULO (SAP)],CAT_MOD_v31[RESUMIDO],"",0)</f>
        <v>Pulsar N125 FI-CBS</v>
      </c>
      <c r="F525" s="2" t="str">
        <f>_xlfn.XLOOKUP(Cat_SKU[[#This Row],[Item]],CAT_MOD_v31[NÚMERO DE ARTÍCULO (SAP)],CAT_MOD_v31[COLOR],"",0)</f>
        <v>Rojo</v>
      </c>
      <c r="G525" s="2">
        <f>_xlfn.XLOOKUP(Cat_SKU[[#This Row],[Item]],CAT_MOD_v31[NÚMERO DE ARTÍCULO (SAP)],CAT_MOD_v31[AÑO],"",0)</f>
        <v>2026</v>
      </c>
    </row>
    <row r="526" spans="1:7" x14ac:dyDescent="0.35">
      <c r="A526" t="s">
        <v>103</v>
      </c>
      <c r="B526" s="1">
        <v>1187039971</v>
      </c>
      <c r="C526" t="s">
        <v>133</v>
      </c>
      <c r="D526" t="s">
        <v>313</v>
      </c>
      <c r="E526" s="2" t="str">
        <f>_xlfn.XLOOKUP(Cat_SKU[[#This Row],[Item]],CAT_MOD_v31[NÚMERO DE ARTÍCULO (SAP)],CAT_MOD_v31[RESUMIDO],"",0)</f>
        <v>Pulsar N250</v>
      </c>
      <c r="F526" s="2" t="str">
        <f>_xlfn.XLOOKUP(Cat_SKU[[#This Row],[Item]],CAT_MOD_v31[NÚMERO DE ARTÍCULO (SAP)],CAT_MOD_v31[COLOR],"",0)</f>
        <v>Azul</v>
      </c>
      <c r="G526" s="2">
        <f>_xlfn.XLOOKUP(Cat_SKU[[#This Row],[Item]],CAT_MOD_v31[NÚMERO DE ARTÍCULO (SAP)],CAT_MOD_v31[AÑO],"",0)</f>
        <v>2026</v>
      </c>
    </row>
    <row r="527" spans="1:7" x14ac:dyDescent="0.35">
      <c r="A527" t="s">
        <v>103</v>
      </c>
      <c r="B527" s="1">
        <v>1188190479</v>
      </c>
      <c r="D527" t="s">
        <v>305</v>
      </c>
      <c r="E527" s="2" t="str">
        <f>_xlfn.XLOOKUP(Cat_SKU[[#This Row],[Item]],CAT_MOD_v31[NÚMERO DE ARTÍCULO (SAP)],CAT_MOD_v31[RESUMIDO],"",0)</f>
        <v>Pulsar N250</v>
      </c>
      <c r="F527" s="2" t="str">
        <f>_xlfn.XLOOKUP(Cat_SKU[[#This Row],[Item]],CAT_MOD_v31[NÚMERO DE ARTÍCULO (SAP)],CAT_MOD_v31[COLOR],"",0)</f>
        <v>Negro</v>
      </c>
      <c r="G527" s="2">
        <f>_xlfn.XLOOKUP(Cat_SKU[[#This Row],[Item]],CAT_MOD_v31[NÚMERO DE ARTÍCULO (SAP)],CAT_MOD_v31[AÑO],"",0)</f>
        <v>2026</v>
      </c>
    </row>
    <row r="528" spans="1:7" x14ac:dyDescent="0.35">
      <c r="A528" t="s">
        <v>103</v>
      </c>
      <c r="B528" s="1">
        <v>1188190479</v>
      </c>
      <c r="C528" t="s">
        <v>814</v>
      </c>
      <c r="D528" t="s">
        <v>313</v>
      </c>
      <c r="E528" s="2" t="str">
        <f>_xlfn.XLOOKUP(Cat_SKU[[#This Row],[Item]],CAT_MOD_v31[NÚMERO DE ARTÍCULO (SAP)],CAT_MOD_v31[RESUMIDO],"",0)</f>
        <v>Pulsar N250</v>
      </c>
      <c r="F528" s="2" t="str">
        <f>_xlfn.XLOOKUP(Cat_SKU[[#This Row],[Item]],CAT_MOD_v31[NÚMERO DE ARTÍCULO (SAP)],CAT_MOD_v31[COLOR],"",0)</f>
        <v>Azul</v>
      </c>
      <c r="G528" s="2">
        <f>_xlfn.XLOOKUP(Cat_SKU[[#This Row],[Item]],CAT_MOD_v31[NÚMERO DE ARTÍCULO (SAP)],CAT_MOD_v31[AÑO],"",0)</f>
        <v>2026</v>
      </c>
    </row>
    <row r="529" spans="1:7" x14ac:dyDescent="0.35">
      <c r="A529" t="s">
        <v>103</v>
      </c>
      <c r="B529" s="1">
        <v>1188806801</v>
      </c>
      <c r="C529" t="s">
        <v>138</v>
      </c>
      <c r="D529" t="s">
        <v>370</v>
      </c>
      <c r="E529" s="2" t="str">
        <f>_xlfn.XLOOKUP(Cat_SKU[[#This Row],[Item]],CAT_MOD_v31[NÚMERO DE ARTÍCULO (SAP)],CAT_MOD_v31[RESUMIDO],"",0)</f>
        <v>Dominar 400</v>
      </c>
      <c r="F529" s="2" t="str">
        <f>_xlfn.XLOOKUP(Cat_SKU[[#This Row],[Item]],CAT_MOD_v31[NÚMERO DE ARTÍCULO (SAP)],CAT_MOD_v31[COLOR],"",0)</f>
        <v>Rojo</v>
      </c>
      <c r="G529" s="2">
        <f>_xlfn.XLOOKUP(Cat_SKU[[#This Row],[Item]],CAT_MOD_v31[NÚMERO DE ARTÍCULO (SAP)],CAT_MOD_v31[AÑO],"",0)</f>
        <v>2025</v>
      </c>
    </row>
    <row r="530" spans="1:7" x14ac:dyDescent="0.35">
      <c r="A530" t="s">
        <v>103</v>
      </c>
      <c r="B530" s="1">
        <v>1188806810</v>
      </c>
      <c r="D530" t="s">
        <v>361</v>
      </c>
      <c r="E530" s="2" t="str">
        <f>_xlfn.XLOOKUP(Cat_SKU[[#This Row],[Item]],CAT_MOD_v31[NÚMERO DE ARTÍCULO (SAP)],CAT_MOD_v31[RESUMIDO],"",0)</f>
        <v>Pulsar N125 FI-CBS</v>
      </c>
      <c r="F530" s="2" t="str">
        <f>_xlfn.XLOOKUP(Cat_SKU[[#This Row],[Item]],CAT_MOD_v31[NÚMERO DE ARTÍCULO (SAP)],CAT_MOD_v31[COLOR],"",0)</f>
        <v>Citrus</v>
      </c>
      <c r="G530" s="2">
        <f>_xlfn.XLOOKUP(Cat_SKU[[#This Row],[Item]],CAT_MOD_v31[NÚMERO DE ARTÍCULO (SAP)],CAT_MOD_v31[AÑO],"",0)</f>
        <v>2026</v>
      </c>
    </row>
    <row r="531" spans="1:7" x14ac:dyDescent="0.35">
      <c r="A531" t="s">
        <v>103</v>
      </c>
      <c r="B531" s="1">
        <v>1189814778</v>
      </c>
      <c r="C531" t="s">
        <v>127</v>
      </c>
      <c r="D531" t="s">
        <v>360</v>
      </c>
      <c r="E531" s="2" t="str">
        <f>_xlfn.XLOOKUP(Cat_SKU[[#This Row],[Item]],CAT_MOD_v31[NÚMERO DE ARTÍCULO (SAP)],CAT_MOD_v31[RESUMIDO],"",0)</f>
        <v>Pulsar N250 FI ABS</v>
      </c>
      <c r="F531" s="2" t="str">
        <f>_xlfn.XLOOKUP(Cat_SKU[[#This Row],[Item]],CAT_MOD_v31[NÚMERO DE ARTÍCULO (SAP)],CAT_MOD_v31[COLOR],"",0)</f>
        <v>Rojo</v>
      </c>
      <c r="G531" s="2">
        <f>_xlfn.XLOOKUP(Cat_SKU[[#This Row],[Item]],CAT_MOD_v31[NÚMERO DE ARTÍCULO (SAP)],CAT_MOD_v31[AÑO],"",0)</f>
        <v>2026</v>
      </c>
    </row>
    <row r="532" spans="1:7" x14ac:dyDescent="0.35">
      <c r="A532" t="s">
        <v>103</v>
      </c>
      <c r="B532" s="1">
        <v>1189941826</v>
      </c>
      <c r="D532" t="s">
        <v>308</v>
      </c>
      <c r="E532" s="2" t="str">
        <f>_xlfn.XLOOKUP(Cat_SKU[[#This Row],[Item]],CAT_MOD_v31[NÚMERO DE ARTÍCULO (SAP)],CAT_MOD_v31[RESUMIDO],"",0)</f>
        <v>Dominar 400</v>
      </c>
      <c r="F532" s="2" t="str">
        <f>_xlfn.XLOOKUP(Cat_SKU[[#This Row],[Item]],CAT_MOD_v31[NÚMERO DE ARTÍCULO (SAP)],CAT_MOD_v31[COLOR],"",0)</f>
        <v>Negro</v>
      </c>
      <c r="G532" s="2">
        <f>_xlfn.XLOOKUP(Cat_SKU[[#This Row],[Item]],CAT_MOD_v31[NÚMERO DE ARTÍCULO (SAP)],CAT_MOD_v31[AÑO],"",0)</f>
        <v>2026</v>
      </c>
    </row>
    <row r="533" spans="1:7" x14ac:dyDescent="0.35">
      <c r="A533" t="s">
        <v>103</v>
      </c>
      <c r="B533" s="1">
        <v>1189941834</v>
      </c>
      <c r="D533" t="s">
        <v>271</v>
      </c>
      <c r="E533" s="2" t="str">
        <f>_xlfn.XLOOKUP(Cat_SKU[[#This Row],[Item]],CAT_MOD_v31[NÚMERO DE ARTÍCULO (SAP)],CAT_MOD_v31[RESUMIDO],"",0)</f>
        <v>Pulsar N160</v>
      </c>
      <c r="F533" s="2" t="str">
        <f>_xlfn.XLOOKUP(Cat_SKU[[#This Row],[Item]],CAT_MOD_v31[NÚMERO DE ARTÍCULO (SAP)],CAT_MOD_v31[COLOR],"",0)</f>
        <v>Negro</v>
      </c>
      <c r="G533" s="2">
        <f>_xlfn.XLOOKUP(Cat_SKU[[#This Row],[Item]],CAT_MOD_v31[NÚMERO DE ARTÍCULO (SAP)],CAT_MOD_v31[AÑO],"",0)</f>
        <v>2026</v>
      </c>
    </row>
    <row r="534" spans="1:7" x14ac:dyDescent="0.35">
      <c r="A534" t="s">
        <v>103</v>
      </c>
      <c r="B534" s="1">
        <v>1192963261</v>
      </c>
      <c r="C534" t="s">
        <v>147</v>
      </c>
      <c r="D534" t="s">
        <v>382</v>
      </c>
      <c r="E534" s="2" t="str">
        <f>_xlfn.XLOOKUP(Cat_SKU[[#This Row],[Item]],CAT_MOD_v31[NÚMERO DE ARTÍCULO (SAP)],CAT_MOD_v31[RESUMIDO],"",0)</f>
        <v>Pulsar F250 FI DC</v>
      </c>
      <c r="F534" s="2" t="str">
        <f>_xlfn.XLOOKUP(Cat_SKU[[#This Row],[Item]],CAT_MOD_v31[NÚMERO DE ARTÍCULO (SAP)],CAT_MOD_v31[COLOR],"",0)</f>
        <v>Rojo</v>
      </c>
      <c r="G534" s="2">
        <f>_xlfn.XLOOKUP(Cat_SKU[[#This Row],[Item]],CAT_MOD_v31[NÚMERO DE ARTÍCULO (SAP)],CAT_MOD_v31[AÑO],"",0)</f>
        <v>2026</v>
      </c>
    </row>
    <row r="535" spans="1:7" x14ac:dyDescent="0.35">
      <c r="A535" t="s">
        <v>189</v>
      </c>
      <c r="B535" s="1" t="s">
        <v>199</v>
      </c>
      <c r="C535" t="s">
        <v>213</v>
      </c>
      <c r="D535" t="s">
        <v>277</v>
      </c>
      <c r="E535" s="2" t="str">
        <f>_xlfn.XLOOKUP(Cat_SKU[[#This Row],[Item]],CAT_MOD_v31[NÚMERO DE ARTÍCULO (SAP)],CAT_MOD_v31[RESUMIDO],"",0)</f>
        <v>Pulsar NS160 UG</v>
      </c>
      <c r="F535" s="2" t="str">
        <f>_xlfn.XLOOKUP(Cat_SKU[[#This Row],[Item]],CAT_MOD_v31[NÚMERO DE ARTÍCULO (SAP)],CAT_MOD_v31[COLOR],"",0)</f>
        <v>Negro</v>
      </c>
      <c r="G535" s="2">
        <f>_xlfn.XLOOKUP(Cat_SKU[[#This Row],[Item]],CAT_MOD_v31[NÚMERO DE ARTÍCULO (SAP)],CAT_MOD_v31[AÑO],"",0)</f>
        <v>2024</v>
      </c>
    </row>
    <row r="536" spans="1:7" x14ac:dyDescent="0.35">
      <c r="A536" t="s">
        <v>189</v>
      </c>
      <c r="B536" s="1" t="s">
        <v>202</v>
      </c>
      <c r="D536" t="s">
        <v>314</v>
      </c>
      <c r="E536" s="2" t="str">
        <f>_xlfn.XLOOKUP(Cat_SKU[[#This Row],[Item]],CAT_MOD_v31[NÚMERO DE ARTÍCULO (SAP)],CAT_MOD_v31[RESUMIDO],"",0)</f>
        <v>Pulsar NS200</v>
      </c>
      <c r="F536" s="2" t="str">
        <f>_xlfn.XLOOKUP(Cat_SKU[[#This Row],[Item]],CAT_MOD_v31[NÚMERO DE ARTÍCULO (SAP)],CAT_MOD_v31[COLOR],"",0)</f>
        <v>Gris</v>
      </c>
      <c r="G536" s="2">
        <f>_xlfn.XLOOKUP(Cat_SKU[[#This Row],[Item]],CAT_MOD_v31[NÚMERO DE ARTÍCULO (SAP)],CAT_MOD_v31[AÑO],"",0)</f>
        <v>2024</v>
      </c>
    </row>
    <row r="537" spans="1:7" x14ac:dyDescent="0.35">
      <c r="A537" t="s">
        <v>189</v>
      </c>
      <c r="B537" s="1" t="s">
        <v>200</v>
      </c>
      <c r="C537" t="s">
        <v>216</v>
      </c>
      <c r="D537" t="s">
        <v>294</v>
      </c>
      <c r="E537" s="2" t="str">
        <f>_xlfn.XLOOKUP(Cat_SKU[[#This Row],[Item]],CAT_MOD_v31[NÚMERO DE ARTÍCULO (SAP)],CAT_MOD_v31[RESUMIDO],"",0)</f>
        <v>Pulsar N250 FI ABS</v>
      </c>
      <c r="F537" s="2" t="str">
        <f>_xlfn.XLOOKUP(Cat_SKU[[#This Row],[Item]],CAT_MOD_v31[NÚMERO DE ARTÍCULO (SAP)],CAT_MOD_v31[COLOR],"",0)</f>
        <v>Negro</v>
      </c>
      <c r="G537" s="2">
        <f>_xlfn.XLOOKUP(Cat_SKU[[#This Row],[Item]],CAT_MOD_v31[NÚMERO DE ARTÍCULO (SAP)],CAT_MOD_v31[AÑO],"",0)</f>
        <v>2024</v>
      </c>
    </row>
    <row r="538" spans="1:7" x14ac:dyDescent="0.35">
      <c r="A538" t="s">
        <v>189</v>
      </c>
      <c r="B538" s="1" t="s">
        <v>201</v>
      </c>
      <c r="C538" t="s">
        <v>220</v>
      </c>
      <c r="D538" t="s">
        <v>291</v>
      </c>
      <c r="E538" s="2" t="str">
        <f>_xlfn.XLOOKUP(Cat_SKU[[#This Row],[Item]],CAT_MOD_v31[NÚMERO DE ARTÍCULO (SAP)],CAT_MOD_v31[RESUMIDO],"",0)</f>
        <v>Pulsar NS200 UG</v>
      </c>
      <c r="F538" s="2" t="str">
        <f>_xlfn.XLOOKUP(Cat_SKU[[#This Row],[Item]],CAT_MOD_v31[NÚMERO DE ARTÍCULO (SAP)],CAT_MOD_v31[COLOR],"",0)</f>
        <v>Negro</v>
      </c>
      <c r="G538" s="2">
        <f>_xlfn.XLOOKUP(Cat_SKU[[#This Row],[Item]],CAT_MOD_v31[NÚMERO DE ARTÍCULO (SAP)],CAT_MOD_v31[AÑO],"",0)</f>
        <v>2024</v>
      </c>
    </row>
    <row r="539" spans="1:7" x14ac:dyDescent="0.35">
      <c r="A539" t="s">
        <v>189</v>
      </c>
      <c r="B539" s="1" t="s">
        <v>206</v>
      </c>
      <c r="D539" t="s">
        <v>298</v>
      </c>
      <c r="E539" s="2" t="str">
        <f>_xlfn.XLOOKUP(Cat_SKU[[#This Row],[Item]],CAT_MOD_v31[NÚMERO DE ARTÍCULO (SAP)],CAT_MOD_v31[RESUMIDO],"",0)</f>
        <v>Pulsar NS200 UG</v>
      </c>
      <c r="F539" s="2" t="str">
        <f>_xlfn.XLOOKUP(Cat_SKU[[#This Row],[Item]],CAT_MOD_v31[NÚMERO DE ARTÍCULO (SAP)],CAT_MOD_v31[COLOR],"",0)</f>
        <v>Perla</v>
      </c>
      <c r="G539" s="2">
        <f>_xlfn.XLOOKUP(Cat_SKU[[#This Row],[Item]],CAT_MOD_v31[NÚMERO DE ARTÍCULO (SAP)],CAT_MOD_v31[AÑO],"",0)</f>
        <v>2024</v>
      </c>
    </row>
    <row r="540" spans="1:7" x14ac:dyDescent="0.35">
      <c r="A540" t="s">
        <v>189</v>
      </c>
      <c r="B540" s="1" t="s">
        <v>207</v>
      </c>
      <c r="D540" t="s">
        <v>302</v>
      </c>
      <c r="E540" s="2" t="str">
        <f>_xlfn.XLOOKUP(Cat_SKU[[#This Row],[Item]],CAT_MOD_v31[NÚMERO DE ARTÍCULO (SAP)],CAT_MOD_v31[RESUMIDO],"",0)</f>
        <v>Pulsar NS200 UG</v>
      </c>
      <c r="F540" s="2" t="str">
        <f>_xlfn.XLOOKUP(Cat_SKU[[#This Row],[Item]],CAT_MOD_v31[NÚMERO DE ARTÍCULO (SAP)],CAT_MOD_v31[COLOR],"",0)</f>
        <v>Gris</v>
      </c>
      <c r="G540" s="2">
        <f>_xlfn.XLOOKUP(Cat_SKU[[#This Row],[Item]],CAT_MOD_v31[NÚMERO DE ARTÍCULO (SAP)],CAT_MOD_v31[AÑO],"",0)</f>
        <v>2024</v>
      </c>
    </row>
    <row r="541" spans="1:7" x14ac:dyDescent="0.35">
      <c r="A541" t="s">
        <v>189</v>
      </c>
      <c r="B541" s="1" t="s">
        <v>208</v>
      </c>
      <c r="D541" t="s">
        <v>297</v>
      </c>
      <c r="E541" s="2" t="str">
        <f>_xlfn.XLOOKUP(Cat_SKU[[#This Row],[Item]],CAT_MOD_v31[NÚMERO DE ARTÍCULO (SAP)],CAT_MOD_v31[RESUMIDO],"",0)</f>
        <v>Dominar 400</v>
      </c>
      <c r="F541" s="2" t="str">
        <f>_xlfn.XLOOKUP(Cat_SKU[[#This Row],[Item]],CAT_MOD_v31[NÚMERO DE ARTÍCULO (SAP)],CAT_MOD_v31[COLOR],"",0)</f>
        <v>Negro</v>
      </c>
      <c r="G541" s="2">
        <f>_xlfn.XLOOKUP(Cat_SKU[[#This Row],[Item]],CAT_MOD_v31[NÚMERO DE ARTÍCULO (SAP)],CAT_MOD_v31[AÑO],"",0)</f>
        <v>2024</v>
      </c>
    </row>
    <row r="542" spans="1:7" x14ac:dyDescent="0.35">
      <c r="A542" t="s">
        <v>189</v>
      </c>
      <c r="B542" s="1" t="s">
        <v>196</v>
      </c>
      <c r="C542" t="s">
        <v>218</v>
      </c>
      <c r="D542" t="s">
        <v>285</v>
      </c>
      <c r="E542" s="2" t="str">
        <f>_xlfn.XLOOKUP(Cat_SKU[[#This Row],[Item]],CAT_MOD_v31[NÚMERO DE ARTÍCULO (SAP)],CAT_MOD_v31[RESUMIDO],"",0)</f>
        <v>Pulsar NS200 UG</v>
      </c>
      <c r="F542" s="2" t="str">
        <f>_xlfn.XLOOKUP(Cat_SKU[[#This Row],[Item]],CAT_MOD_v31[NÚMERO DE ARTÍCULO (SAP)],CAT_MOD_v31[COLOR],"",0)</f>
        <v>Negro</v>
      </c>
      <c r="G542" s="2">
        <f>_xlfn.XLOOKUP(Cat_SKU[[#This Row],[Item]],CAT_MOD_v31[NÚMERO DE ARTÍCULO (SAP)],CAT_MOD_v31[AÑO],"",0)</f>
        <v>2025</v>
      </c>
    </row>
    <row r="543" spans="1:7" x14ac:dyDescent="0.35">
      <c r="A543" t="s">
        <v>189</v>
      </c>
      <c r="B543" s="1" t="s">
        <v>210</v>
      </c>
      <c r="D543" t="s">
        <v>286</v>
      </c>
      <c r="E543" s="2" t="str">
        <f>_xlfn.XLOOKUP(Cat_SKU[[#This Row],[Item]],CAT_MOD_v31[NÚMERO DE ARTÍCULO (SAP)],CAT_MOD_v31[RESUMIDO],"",0)</f>
        <v>Pulsar NS200 UG</v>
      </c>
      <c r="F543" s="2" t="str">
        <f>_xlfn.XLOOKUP(Cat_SKU[[#This Row],[Item]],CAT_MOD_v31[NÚMERO DE ARTÍCULO (SAP)],CAT_MOD_v31[COLOR],"",0)</f>
        <v>Perla</v>
      </c>
      <c r="G543" s="2">
        <f>_xlfn.XLOOKUP(Cat_SKU[[#This Row],[Item]],CAT_MOD_v31[NÚMERO DE ARTÍCULO (SAP)],CAT_MOD_v31[AÑO],"",0)</f>
        <v>2025</v>
      </c>
    </row>
    <row r="544" spans="1:7" x14ac:dyDescent="0.35">
      <c r="A544" t="s">
        <v>189</v>
      </c>
      <c r="B544" s="1" t="s">
        <v>209</v>
      </c>
      <c r="D544" t="s">
        <v>283</v>
      </c>
      <c r="E544" s="2" t="str">
        <f>_xlfn.XLOOKUP(Cat_SKU[[#This Row],[Item]],CAT_MOD_v31[NÚMERO DE ARTÍCULO (SAP)],CAT_MOD_v31[RESUMIDO],"",0)</f>
        <v>Pulsar NS200 UG</v>
      </c>
      <c r="F544" s="2" t="str">
        <f>_xlfn.XLOOKUP(Cat_SKU[[#This Row],[Item]],CAT_MOD_v31[NÚMERO DE ARTÍCULO (SAP)],CAT_MOD_v31[COLOR],"",0)</f>
        <v>Gris</v>
      </c>
      <c r="G544" s="2">
        <f>_xlfn.XLOOKUP(Cat_SKU[[#This Row],[Item]],CAT_MOD_v31[NÚMERO DE ARTÍCULO (SAP)],CAT_MOD_v31[AÑO],"",0)</f>
        <v>2025</v>
      </c>
    </row>
    <row r="545" spans="1:7" x14ac:dyDescent="0.35">
      <c r="A545" t="s">
        <v>189</v>
      </c>
      <c r="B545" s="1" t="s">
        <v>194</v>
      </c>
      <c r="C545" t="s">
        <v>216</v>
      </c>
      <c r="D545" t="s">
        <v>274</v>
      </c>
      <c r="E545" s="2" t="str">
        <f>_xlfn.XLOOKUP(Cat_SKU[[#This Row],[Item]],CAT_MOD_v31[NÚMERO DE ARTÍCULO (SAP)],CAT_MOD_v31[RESUMIDO],"",0)</f>
        <v>Pulsar N250 FI ABS</v>
      </c>
      <c r="F545" s="2" t="str">
        <f>_xlfn.XLOOKUP(Cat_SKU[[#This Row],[Item]],CAT_MOD_v31[NÚMERO DE ARTÍCULO (SAP)],CAT_MOD_v31[COLOR],"",0)</f>
        <v>Negro</v>
      </c>
      <c r="G545" s="2">
        <f>_xlfn.XLOOKUP(Cat_SKU[[#This Row],[Item]],CAT_MOD_v31[NÚMERO DE ARTÍCULO (SAP)],CAT_MOD_v31[AÑO],"",0)</f>
        <v>2025</v>
      </c>
    </row>
    <row r="546" spans="1:7" x14ac:dyDescent="0.35">
      <c r="A546" t="s">
        <v>189</v>
      </c>
      <c r="B546" s="1" t="s">
        <v>195</v>
      </c>
      <c r="C546" t="s">
        <v>217</v>
      </c>
      <c r="D546" t="s">
        <v>266</v>
      </c>
      <c r="E546" s="2" t="str">
        <f>_xlfn.XLOOKUP(Cat_SKU[[#This Row],[Item]],CAT_MOD_v31[NÚMERO DE ARTÍCULO (SAP)],CAT_MOD_v31[RESUMIDO],"",0)</f>
        <v>Pulsar NS160 UG</v>
      </c>
      <c r="F546" s="2" t="str">
        <f>_xlfn.XLOOKUP(Cat_SKU[[#This Row],[Item]],CAT_MOD_v31[NÚMERO DE ARTÍCULO (SAP)],CAT_MOD_v31[COLOR],"",0)</f>
        <v>Negro</v>
      </c>
      <c r="G546" s="2">
        <f>_xlfn.XLOOKUP(Cat_SKU[[#This Row],[Item]],CAT_MOD_v31[NÚMERO DE ARTÍCULO (SAP)],CAT_MOD_v31[AÑO],"",0)</f>
        <v>2025</v>
      </c>
    </row>
    <row r="547" spans="1:7" x14ac:dyDescent="0.35">
      <c r="A547" t="s">
        <v>189</v>
      </c>
      <c r="B547" s="1" t="s">
        <v>197</v>
      </c>
      <c r="C547" t="s">
        <v>219</v>
      </c>
      <c r="D547" t="s">
        <v>258</v>
      </c>
      <c r="E547" s="2" t="str">
        <f>_xlfn.XLOOKUP(Cat_SKU[[#This Row],[Item]],CAT_MOD_v31[NÚMERO DE ARTÍCULO (SAP)],CAT_MOD_v31[RESUMIDO],"",0)</f>
        <v>Dominar 400</v>
      </c>
      <c r="F547" s="2" t="str">
        <f>_xlfn.XLOOKUP(Cat_SKU[[#This Row],[Item]],CAT_MOD_v31[NÚMERO DE ARTÍCULO (SAP)],CAT_MOD_v31[COLOR],"",0)</f>
        <v>Negro</v>
      </c>
      <c r="G547" s="2">
        <f>_xlfn.XLOOKUP(Cat_SKU[[#This Row],[Item]],CAT_MOD_v31[NÚMERO DE ARTÍCULO (SAP)],CAT_MOD_v31[AÑO],"",0)</f>
        <v>2025</v>
      </c>
    </row>
    <row r="548" spans="1:7" x14ac:dyDescent="0.35">
      <c r="A548" t="s">
        <v>189</v>
      </c>
      <c r="B548" s="1" t="s">
        <v>198</v>
      </c>
      <c r="C548" t="s">
        <v>212</v>
      </c>
      <c r="D548" t="s">
        <v>273</v>
      </c>
      <c r="E548" s="2" t="str">
        <f>_xlfn.XLOOKUP(Cat_SKU[[#This Row],[Item]],CAT_MOD_v31[NÚMERO DE ARTÍCULO (SAP)],CAT_MOD_v31[RESUMIDO],"",0)</f>
        <v>Pulsar N250</v>
      </c>
      <c r="F548" s="2" t="str">
        <f>_xlfn.XLOOKUP(Cat_SKU[[#This Row],[Item]],CAT_MOD_v31[NÚMERO DE ARTÍCULO (SAP)],CAT_MOD_v31[COLOR],"",0)</f>
        <v>Negro</v>
      </c>
      <c r="G548" s="2">
        <f>_xlfn.XLOOKUP(Cat_SKU[[#This Row],[Item]],CAT_MOD_v31[NÚMERO DE ARTÍCULO (SAP)],CAT_MOD_v31[AÑO],"",0)</f>
        <v>2025</v>
      </c>
    </row>
    <row r="549" spans="1:7" x14ac:dyDescent="0.35">
      <c r="A549" t="s">
        <v>189</v>
      </c>
      <c r="B549" s="1" t="s">
        <v>190</v>
      </c>
      <c r="C549" t="s">
        <v>212</v>
      </c>
      <c r="D549" t="s">
        <v>305</v>
      </c>
      <c r="E549" s="2" t="str">
        <f>_xlfn.XLOOKUP(Cat_SKU[[#This Row],[Item]],CAT_MOD_v31[NÚMERO DE ARTÍCULO (SAP)],CAT_MOD_v31[RESUMIDO],"",0)</f>
        <v>Pulsar N250</v>
      </c>
      <c r="F549" s="2" t="str">
        <f>_xlfn.XLOOKUP(Cat_SKU[[#This Row],[Item]],CAT_MOD_v31[NÚMERO DE ARTÍCULO (SAP)],CAT_MOD_v31[COLOR],"",0)</f>
        <v>Negro</v>
      </c>
      <c r="G549" s="2">
        <f>_xlfn.XLOOKUP(Cat_SKU[[#This Row],[Item]],CAT_MOD_v31[NÚMERO DE ARTÍCULO (SAP)],CAT_MOD_v31[AÑO],"",0)</f>
        <v>2026</v>
      </c>
    </row>
    <row r="550" spans="1:7" x14ac:dyDescent="0.35">
      <c r="A550" t="s">
        <v>189</v>
      </c>
      <c r="B550" s="1" t="s">
        <v>193</v>
      </c>
      <c r="C550" t="s">
        <v>215</v>
      </c>
      <c r="D550" t="s">
        <v>278</v>
      </c>
      <c r="E550" s="2" t="str">
        <f>_xlfn.XLOOKUP(Cat_SKU[[#This Row],[Item]],CAT_MOD_v31[NÚMERO DE ARTÍCULO (SAP)],CAT_MOD_v31[RESUMIDO],"",0)</f>
        <v>Pulsar NS400z</v>
      </c>
      <c r="F550" s="2" t="str">
        <f>_xlfn.XLOOKUP(Cat_SKU[[#This Row],[Item]],CAT_MOD_v31[NÚMERO DE ARTÍCULO (SAP)],CAT_MOD_v31[COLOR],"",0)</f>
        <v>Negro</v>
      </c>
      <c r="G550" s="2">
        <f>_xlfn.XLOOKUP(Cat_SKU[[#This Row],[Item]],CAT_MOD_v31[NÚMERO DE ARTÍCULO (SAP)],CAT_MOD_v31[AÑO],"",0)</f>
        <v>2025</v>
      </c>
    </row>
    <row r="551" spans="1:7" x14ac:dyDescent="0.35">
      <c r="A551" t="s">
        <v>189</v>
      </c>
      <c r="B551" s="1" t="s">
        <v>193</v>
      </c>
      <c r="C551" t="s">
        <v>805</v>
      </c>
      <c r="D551" t="s">
        <v>812</v>
      </c>
      <c r="E551" s="2" t="str">
        <f>_xlfn.XLOOKUP(Cat_SKU[[#This Row],[Item]],CAT_MOD_v31[NÚMERO DE ARTÍCULO (SAP)],CAT_MOD_v31[RESUMIDO],"",0)</f>
        <v>Pulsar NS400z</v>
      </c>
      <c r="F551" s="2" t="str">
        <f>_xlfn.XLOOKUP(Cat_SKU[[#This Row],[Item]],CAT_MOD_v31[NÚMERO DE ARTÍCULO (SAP)],CAT_MOD_v31[COLOR],"",0)</f>
        <v>Gris</v>
      </c>
      <c r="G551" s="2">
        <f>_xlfn.XLOOKUP(Cat_SKU[[#This Row],[Item]],CAT_MOD_v31[NÚMERO DE ARTÍCULO (SAP)],CAT_MOD_v31[AÑO],"",0)</f>
        <v>2026</v>
      </c>
    </row>
    <row r="552" spans="1:7" x14ac:dyDescent="0.35">
      <c r="A552" t="s">
        <v>189</v>
      </c>
      <c r="B552" s="1" t="s">
        <v>191</v>
      </c>
      <c r="C552" t="s">
        <v>213</v>
      </c>
      <c r="D552" t="s">
        <v>312</v>
      </c>
      <c r="E552" s="2" t="str">
        <f>_xlfn.XLOOKUP(Cat_SKU[[#This Row],[Item]],CAT_MOD_v31[NÚMERO DE ARTÍCULO (SAP)],CAT_MOD_v31[RESUMIDO],"",0)</f>
        <v>Pulsar NS160 UG</v>
      </c>
      <c r="F552" s="2" t="str">
        <f>_xlfn.XLOOKUP(Cat_SKU[[#This Row],[Item]],CAT_MOD_v31[NÚMERO DE ARTÍCULO (SAP)],CAT_MOD_v31[COLOR],"",0)</f>
        <v>Negro</v>
      </c>
      <c r="G552" s="2">
        <f>_xlfn.XLOOKUP(Cat_SKU[[#This Row],[Item]],CAT_MOD_v31[NÚMERO DE ARTÍCULO (SAP)],CAT_MOD_v31[AÑO],"",0)</f>
        <v>2026</v>
      </c>
    </row>
    <row r="553" spans="1:7" x14ac:dyDescent="0.35">
      <c r="A553" t="s">
        <v>189</v>
      </c>
      <c r="B553" s="1" t="s">
        <v>192</v>
      </c>
      <c r="C553" t="s">
        <v>214</v>
      </c>
      <c r="D553" t="s">
        <v>313</v>
      </c>
      <c r="E553" s="2" t="str">
        <f>_xlfn.XLOOKUP(Cat_SKU[[#This Row],[Item]],CAT_MOD_v31[NÚMERO DE ARTÍCULO (SAP)],CAT_MOD_v31[RESUMIDO],"",0)</f>
        <v>Pulsar N250</v>
      </c>
      <c r="F553" s="2" t="str">
        <f>_xlfn.XLOOKUP(Cat_SKU[[#This Row],[Item]],CAT_MOD_v31[NÚMERO DE ARTÍCULO (SAP)],CAT_MOD_v31[COLOR],"",0)</f>
        <v>Azul</v>
      </c>
      <c r="G553" s="2">
        <f>_xlfn.XLOOKUP(Cat_SKU[[#This Row],[Item]],CAT_MOD_v31[NÚMERO DE ARTÍCULO (SAP)],CAT_MOD_v31[AÑO],"",0)</f>
        <v>2026</v>
      </c>
    </row>
    <row r="554" spans="1:7" x14ac:dyDescent="0.35">
      <c r="A554" t="s">
        <v>189</v>
      </c>
      <c r="B554" s="1" t="s">
        <v>211</v>
      </c>
      <c r="C554" t="s">
        <v>218</v>
      </c>
      <c r="D554" t="s">
        <v>307</v>
      </c>
      <c r="E554" s="2" t="str">
        <f>_xlfn.XLOOKUP(Cat_SKU[[#This Row],[Item]],CAT_MOD_v31[NÚMERO DE ARTÍCULO (SAP)],CAT_MOD_v31[RESUMIDO],"",0)</f>
        <v>Pulsar NS200 UG</v>
      </c>
      <c r="F554" s="2" t="str">
        <f>_xlfn.XLOOKUP(Cat_SKU[[#This Row],[Item]],CAT_MOD_v31[NÚMERO DE ARTÍCULO (SAP)],CAT_MOD_v31[COLOR],"",0)</f>
        <v>Negro</v>
      </c>
      <c r="G554" s="2">
        <f>_xlfn.XLOOKUP(Cat_SKU[[#This Row],[Item]],CAT_MOD_v31[NÚMERO DE ARTÍCULO (SAP)],CAT_MOD_v31[AÑO],"",0)</f>
        <v>2026</v>
      </c>
    </row>
    <row r="555" spans="1:7" x14ac:dyDescent="0.35">
      <c r="A555" t="s">
        <v>189</v>
      </c>
      <c r="B555" s="1" t="s">
        <v>204</v>
      </c>
      <c r="D555" t="s">
        <v>316</v>
      </c>
      <c r="E555" s="2" t="str">
        <f>_xlfn.XLOOKUP(Cat_SKU[[#This Row],[Item]],CAT_MOD_v31[NÚMERO DE ARTÍCULO (SAP)],CAT_MOD_v31[RESUMIDO],"",0)</f>
        <v>Pulsar LS125</v>
      </c>
      <c r="F555" s="2" t="str">
        <f>_xlfn.XLOOKUP(Cat_SKU[[#This Row],[Item]],CAT_MOD_v31[NÚMERO DE ARTÍCULO (SAP)],CAT_MOD_v31[COLOR],"",0)</f>
        <v>Negro</v>
      </c>
      <c r="G555" s="2">
        <f>_xlfn.XLOOKUP(Cat_SKU[[#This Row],[Item]],CAT_MOD_v31[NÚMERO DE ARTÍCULO (SAP)],CAT_MOD_v31[AÑO],"",0)</f>
        <v>2023</v>
      </c>
    </row>
    <row r="556" spans="1:7" x14ac:dyDescent="0.35">
      <c r="A556" t="s">
        <v>189</v>
      </c>
      <c r="B556" s="1" t="s">
        <v>203</v>
      </c>
      <c r="D556" t="s">
        <v>315</v>
      </c>
      <c r="E556" s="2" t="str">
        <f>_xlfn.XLOOKUP(Cat_SKU[[#This Row],[Item]],CAT_MOD_v31[NÚMERO DE ARTÍCULO (SAP)],CAT_MOD_v31[RESUMIDO],"",0)</f>
        <v>Pulsar NS160</v>
      </c>
      <c r="F556" s="2" t="str">
        <f>_xlfn.XLOOKUP(Cat_SKU[[#This Row],[Item]],CAT_MOD_v31[NÚMERO DE ARTÍCULO (SAP)],CAT_MOD_v31[COLOR],"",0)</f>
        <v>Negro</v>
      </c>
      <c r="G556" s="2">
        <f>_xlfn.XLOOKUP(Cat_SKU[[#This Row],[Item]],CAT_MOD_v31[NÚMERO DE ARTÍCULO (SAP)],CAT_MOD_v31[AÑO],"",0)</f>
        <v>2023</v>
      </c>
    </row>
    <row r="557" spans="1:7" x14ac:dyDescent="0.35">
      <c r="A557" t="s">
        <v>189</v>
      </c>
      <c r="B557" s="1" t="s">
        <v>205</v>
      </c>
      <c r="D557" t="s">
        <v>317</v>
      </c>
      <c r="E557" s="2" t="str">
        <f>_xlfn.XLOOKUP(Cat_SKU[[#This Row],[Item]],CAT_MOD_v31[NÚMERO DE ARTÍCULO (SAP)],CAT_MOD_v31[RESUMIDO],"",0)</f>
        <v>Pulsar NS200</v>
      </c>
      <c r="F557" s="2" t="str">
        <f>_xlfn.XLOOKUP(Cat_SKU[[#This Row],[Item]],CAT_MOD_v31[NÚMERO DE ARTÍCULO (SAP)],CAT_MOD_v31[COLOR],"",0)</f>
        <v>Gris</v>
      </c>
      <c r="G557" s="2">
        <f>_xlfn.XLOOKUP(Cat_SKU[[#This Row],[Item]],CAT_MOD_v31[NÚMERO DE ARTÍCULO (SAP)],CAT_MOD_v31[AÑO],"",0)</f>
        <v>2023</v>
      </c>
    </row>
    <row r="558" spans="1:7" x14ac:dyDescent="0.35">
      <c r="A558" t="s">
        <v>189</v>
      </c>
      <c r="B558" s="1" t="s">
        <v>768</v>
      </c>
      <c r="C558" t="s">
        <v>779</v>
      </c>
      <c r="D558" t="s">
        <v>337</v>
      </c>
      <c r="E558" s="2" t="str">
        <f>_xlfn.XLOOKUP(Cat_SKU[[#This Row],[Item]],CAT_MOD_v31[NÚMERO DE ARTÍCULO (SAP)],CAT_MOD_v31[RESUMIDO],"",0)</f>
        <v>Pulsar N250 FI ABS</v>
      </c>
      <c r="F558" s="2" t="str">
        <f>_xlfn.XLOOKUP(Cat_SKU[[#This Row],[Item]],CAT_MOD_v31[NÚMERO DE ARTÍCULO (SAP)],CAT_MOD_v31[COLOR],"",0)</f>
        <v>Negro</v>
      </c>
      <c r="G558" s="2">
        <f>_xlfn.XLOOKUP(Cat_SKU[[#This Row],[Item]],CAT_MOD_v31[NÚMERO DE ARTÍCULO (SAP)],CAT_MOD_v31[AÑO],"",0)</f>
        <v>2023</v>
      </c>
    </row>
    <row r="559" spans="1:7" x14ac:dyDescent="0.35">
      <c r="A559" t="s">
        <v>148</v>
      </c>
      <c r="B559" s="1">
        <v>1418814</v>
      </c>
      <c r="D559" t="s">
        <v>336</v>
      </c>
      <c r="E559" s="2" t="str">
        <f>_xlfn.XLOOKUP(Cat_SKU[[#This Row],[Item]],CAT_MOD_v31[NÚMERO DE ARTÍCULO (SAP)],CAT_MOD_v31[RESUMIDO],"",0)</f>
        <v>Pulsar N160 FI ABS</v>
      </c>
      <c r="F559" s="2" t="str">
        <f>_xlfn.XLOOKUP(Cat_SKU[[#This Row],[Item]],CAT_MOD_v31[NÚMERO DE ARTÍCULO (SAP)],CAT_MOD_v31[COLOR],"",0)</f>
        <v>Negro</v>
      </c>
      <c r="G559" s="2">
        <f>_xlfn.XLOOKUP(Cat_SKU[[#This Row],[Item]],CAT_MOD_v31[NÚMERO DE ARTÍCULO (SAP)],CAT_MOD_v31[AÑO],"",0)</f>
        <v>2023</v>
      </c>
    </row>
    <row r="560" spans="1:7" x14ac:dyDescent="0.35">
      <c r="A560" t="s">
        <v>148</v>
      </c>
      <c r="B560" s="1">
        <v>5939618</v>
      </c>
      <c r="C560" t="s">
        <v>776</v>
      </c>
      <c r="D560" t="s">
        <v>885</v>
      </c>
      <c r="E560" s="2" t="str">
        <f>_xlfn.XLOOKUP(Cat_SKU[[#This Row],[Item]],CAT_MOD_v31[NÚMERO DE ARTÍCULO (SAP)],CAT_MOD_v31[RESUMIDO],"",0)</f>
        <v>Pulsar NS200</v>
      </c>
      <c r="F560" s="2" t="str">
        <f>_xlfn.XLOOKUP(Cat_SKU[[#This Row],[Item]],CAT_MOD_v31[NÚMERO DE ARTÍCULO (SAP)],CAT_MOD_v31[COLOR],"",0)</f>
        <v>Negro</v>
      </c>
      <c r="G560" s="2">
        <f>_xlfn.XLOOKUP(Cat_SKU[[#This Row],[Item]],CAT_MOD_v31[NÚMERO DE ARTÍCULO (SAP)],CAT_MOD_v31[AÑO],"",0)</f>
        <v>2020</v>
      </c>
    </row>
    <row r="561" spans="1:7" x14ac:dyDescent="0.35">
      <c r="A561" t="s">
        <v>148</v>
      </c>
      <c r="B561" s="1">
        <v>5939650</v>
      </c>
      <c r="C561" t="s">
        <v>776</v>
      </c>
      <c r="D561" t="s">
        <v>886</v>
      </c>
      <c r="E561" s="2" t="str">
        <f>_xlfn.XLOOKUP(Cat_SKU[[#This Row],[Item]],CAT_MOD_v31[NÚMERO DE ARTÍCULO (SAP)],CAT_MOD_v31[RESUMIDO],"",0)</f>
        <v>Pulsar NS200</v>
      </c>
      <c r="F561" s="2" t="str">
        <f>_xlfn.XLOOKUP(Cat_SKU[[#This Row],[Item]],CAT_MOD_v31[NÚMERO DE ARTÍCULO (SAP)],CAT_MOD_v31[COLOR],"",0)</f>
        <v>Rojo</v>
      </c>
      <c r="G561" s="2">
        <f>_xlfn.XLOOKUP(Cat_SKU[[#This Row],[Item]],CAT_MOD_v31[NÚMERO DE ARTÍCULO (SAP)],CAT_MOD_v31[AÑO],"",0)</f>
        <v>2020</v>
      </c>
    </row>
    <row r="562" spans="1:7" x14ac:dyDescent="0.35">
      <c r="A562" t="s">
        <v>148</v>
      </c>
      <c r="B562" s="1">
        <v>5939717</v>
      </c>
      <c r="C562" t="s">
        <v>777</v>
      </c>
      <c r="D562" t="s">
        <v>815</v>
      </c>
      <c r="E562" s="2" t="str">
        <f>_xlfn.XLOOKUP(Cat_SKU[[#This Row],[Item]],CAT_MOD_v31[NÚMERO DE ARTÍCULO (SAP)],CAT_MOD_v31[RESUMIDO],"",0)</f>
        <v>Pulsar NS160</v>
      </c>
      <c r="F562" s="2" t="str">
        <f>_xlfn.XLOOKUP(Cat_SKU[[#This Row],[Item]],CAT_MOD_v31[NÚMERO DE ARTÍCULO (SAP)],CAT_MOD_v31[COLOR],"",0)</f>
        <v>Blanco</v>
      </c>
      <c r="G562" s="2">
        <f>_xlfn.XLOOKUP(Cat_SKU[[#This Row],[Item]],CAT_MOD_v31[NÚMERO DE ARTÍCULO (SAP)],CAT_MOD_v31[AÑO],"",0)</f>
        <v>2019</v>
      </c>
    </row>
    <row r="563" spans="1:7" x14ac:dyDescent="0.35">
      <c r="A563" t="s">
        <v>148</v>
      </c>
      <c r="B563" s="1">
        <v>5939775</v>
      </c>
      <c r="C563" t="s">
        <v>775</v>
      </c>
      <c r="D563" t="s">
        <v>874</v>
      </c>
      <c r="E563" s="2" t="str">
        <f>_xlfn.XLOOKUP(Cat_SKU[[#This Row],[Item]],CAT_MOD_v31[NÚMERO DE ARTÍCULO (SAP)],CAT_MOD_v31[RESUMIDO],"",0)</f>
        <v>Avenger Cruise 220</v>
      </c>
      <c r="F563" s="2" t="str">
        <f>_xlfn.XLOOKUP(Cat_SKU[[#This Row],[Item]],CAT_MOD_v31[NÚMERO DE ARTÍCULO (SAP)],CAT_MOD_v31[COLOR],"",0)</f>
        <v>Negro</v>
      </c>
      <c r="G563" s="2">
        <f>_xlfn.XLOOKUP(Cat_SKU[[#This Row],[Item]],CAT_MOD_v31[NÚMERO DE ARTÍCULO (SAP)],CAT_MOD_v31[AÑO],"",0)</f>
        <v>2020</v>
      </c>
    </row>
    <row r="564" spans="1:7" x14ac:dyDescent="0.35">
      <c r="A564" t="s">
        <v>148</v>
      </c>
      <c r="B564" s="1">
        <v>5939858</v>
      </c>
      <c r="C564" t="s">
        <v>776</v>
      </c>
      <c r="D564" t="s">
        <v>884</v>
      </c>
      <c r="E564" s="2" t="str">
        <f>_xlfn.XLOOKUP(Cat_SKU[[#This Row],[Item]],CAT_MOD_v31[NÚMERO DE ARTÍCULO (SAP)],CAT_MOD_v31[RESUMIDO],"",0)</f>
        <v>Pulsar 200 FI</v>
      </c>
      <c r="F564" s="2" t="str">
        <f>_xlfn.XLOOKUP(Cat_SKU[[#This Row],[Item]],CAT_MOD_v31[NÚMERO DE ARTÍCULO (SAP)],CAT_MOD_v31[COLOR],"",0)</f>
        <v>Negro</v>
      </c>
      <c r="G564" s="2">
        <f>_xlfn.XLOOKUP(Cat_SKU[[#This Row],[Item]],CAT_MOD_v31[NÚMERO DE ARTÍCULO (SAP)],CAT_MOD_v31[AÑO],"",0)</f>
        <v>2020</v>
      </c>
    </row>
    <row r="565" spans="1:7" x14ac:dyDescent="0.35">
      <c r="A565" t="s">
        <v>148</v>
      </c>
      <c r="B565" s="1">
        <v>5939890</v>
      </c>
      <c r="C565" t="s">
        <v>854</v>
      </c>
      <c r="D565" t="s">
        <v>879</v>
      </c>
      <c r="E565" s="2" t="str">
        <f>_xlfn.XLOOKUP(Cat_SKU[[#This Row],[Item]],CAT_MOD_v31[NÚMERO DE ARTÍCULO (SAP)],CAT_MOD_v31[RESUMIDO],"",0)</f>
        <v>Pulsar 135 LS</v>
      </c>
      <c r="F565" s="2" t="str">
        <f>_xlfn.XLOOKUP(Cat_SKU[[#This Row],[Item]],CAT_MOD_v31[NÚMERO DE ARTÍCULO (SAP)],CAT_MOD_v31[COLOR],"",0)</f>
        <v>Negro</v>
      </c>
      <c r="G565" s="2">
        <f>_xlfn.XLOOKUP(Cat_SKU[[#This Row],[Item]],CAT_MOD_v31[NÚMERO DE ARTÍCULO (SAP)],CAT_MOD_v31[AÑO],"",0)</f>
        <v>2019</v>
      </c>
    </row>
    <row r="566" spans="1:7" x14ac:dyDescent="0.35">
      <c r="A566" t="s">
        <v>148</v>
      </c>
      <c r="B566" s="1">
        <v>5940011</v>
      </c>
      <c r="C566" t="s">
        <v>783</v>
      </c>
      <c r="D566" t="s">
        <v>877</v>
      </c>
      <c r="E566" s="2" t="str">
        <f>_xlfn.XLOOKUP(Cat_SKU[[#This Row],[Item]],CAT_MOD_v31[NÚMERO DE ARTÍCULO (SAP)],CAT_MOD_v31[RESUMIDO],"",0)</f>
        <v>Dominar 400</v>
      </c>
      <c r="F566" s="2" t="str">
        <f>_xlfn.XLOOKUP(Cat_SKU[[#This Row],[Item]],CAT_MOD_v31[NÚMERO DE ARTÍCULO (SAP)],CAT_MOD_v31[COLOR],"",0)</f>
        <v>Negro</v>
      </c>
      <c r="G566" s="2">
        <f>_xlfn.XLOOKUP(Cat_SKU[[#This Row],[Item]],CAT_MOD_v31[NÚMERO DE ARTÍCULO (SAP)],CAT_MOD_v31[AÑO],"",0)</f>
        <v>2020</v>
      </c>
    </row>
    <row r="567" spans="1:7" x14ac:dyDescent="0.35">
      <c r="A567" t="s">
        <v>148</v>
      </c>
      <c r="B567" s="1">
        <v>7496723</v>
      </c>
      <c r="C567" t="s">
        <v>780</v>
      </c>
      <c r="D567" t="s">
        <v>878</v>
      </c>
      <c r="E567" s="2" t="str">
        <f>_xlfn.XLOOKUP(Cat_SKU[[#This Row],[Item]],CAT_MOD_v31[NÚMERO DE ARTÍCULO (SAP)],CAT_MOD_v31[RESUMIDO],"",0)</f>
        <v>Pulsar LS125</v>
      </c>
      <c r="F567" s="2" t="str">
        <f>_xlfn.XLOOKUP(Cat_SKU[[#This Row],[Item]],CAT_MOD_v31[NÚMERO DE ARTÍCULO (SAP)],CAT_MOD_v31[COLOR],"",0)</f>
        <v>Amarillo</v>
      </c>
      <c r="G567" s="2">
        <f>_xlfn.XLOOKUP(Cat_SKU[[#This Row],[Item]],CAT_MOD_v31[NÚMERO DE ARTÍCULO (SAP)],CAT_MOD_v31[AÑO],"",0)</f>
        <v>2020</v>
      </c>
    </row>
    <row r="568" spans="1:7" x14ac:dyDescent="0.35">
      <c r="A568" t="s">
        <v>148</v>
      </c>
      <c r="B568" s="1">
        <v>7672084</v>
      </c>
      <c r="D568" t="s">
        <v>330</v>
      </c>
      <c r="E568" s="2" t="str">
        <f>_xlfn.XLOOKUP(Cat_SKU[[#This Row],[Item]],CAT_MOD_v31[NÚMERO DE ARTÍCULO (SAP)],CAT_MOD_v31[RESUMIDO],"",0)</f>
        <v>Dominar 400</v>
      </c>
      <c r="F568" s="2" t="str">
        <f>_xlfn.XLOOKUP(Cat_SKU[[#This Row],[Item]],CAT_MOD_v31[NÚMERO DE ARTÍCULO (SAP)],CAT_MOD_v31[COLOR],"",0)</f>
        <v>Negro</v>
      </c>
      <c r="G568" s="2">
        <f>_xlfn.XLOOKUP(Cat_SKU[[#This Row],[Item]],CAT_MOD_v31[NÚMERO DE ARTÍCULO (SAP)],CAT_MOD_v31[AÑO],"",0)</f>
        <v>2023</v>
      </c>
    </row>
    <row r="569" spans="1:7" x14ac:dyDescent="0.35">
      <c r="A569" t="s">
        <v>148</v>
      </c>
      <c r="B569" s="1">
        <v>8941719</v>
      </c>
      <c r="D569" t="s">
        <v>293</v>
      </c>
      <c r="E569" s="2" t="str">
        <f>_xlfn.XLOOKUP(Cat_SKU[[#This Row],[Item]],CAT_MOD_v31[NÚMERO DE ARTÍCULO (SAP)],CAT_MOD_v31[RESUMIDO],"",0)</f>
        <v>Pulsar N160 FI ABS</v>
      </c>
      <c r="F569" s="2" t="str">
        <f>_xlfn.XLOOKUP(Cat_SKU[[#This Row],[Item]],CAT_MOD_v31[NÚMERO DE ARTÍCULO (SAP)],CAT_MOD_v31[COLOR],"",0)</f>
        <v>Negro</v>
      </c>
      <c r="G569" s="2">
        <f>_xlfn.XLOOKUP(Cat_SKU[[#This Row],[Item]],CAT_MOD_v31[NÚMERO DE ARTÍCULO (SAP)],CAT_MOD_v31[AÑO],"",0)</f>
        <v>2024</v>
      </c>
    </row>
    <row r="570" spans="1:7" x14ac:dyDescent="0.35">
      <c r="A570" t="s">
        <v>148</v>
      </c>
      <c r="B570" s="1">
        <v>8941777</v>
      </c>
      <c r="D570" t="s">
        <v>294</v>
      </c>
      <c r="E570" s="2" t="str">
        <f>_xlfn.XLOOKUP(Cat_SKU[[#This Row],[Item]],CAT_MOD_v31[NÚMERO DE ARTÍCULO (SAP)],CAT_MOD_v31[RESUMIDO],"",0)</f>
        <v>Pulsar N250 FI ABS</v>
      </c>
      <c r="F570" s="2" t="str">
        <f>_xlfn.XLOOKUP(Cat_SKU[[#This Row],[Item]],CAT_MOD_v31[NÚMERO DE ARTÍCULO (SAP)],CAT_MOD_v31[COLOR],"",0)</f>
        <v>Negro</v>
      </c>
      <c r="G570" s="2">
        <f>_xlfn.XLOOKUP(Cat_SKU[[#This Row],[Item]],CAT_MOD_v31[NÚMERO DE ARTÍCULO (SAP)],CAT_MOD_v31[AÑO],"",0)</f>
        <v>2024</v>
      </c>
    </row>
    <row r="571" spans="1:7" x14ac:dyDescent="0.35">
      <c r="A571" t="s">
        <v>148</v>
      </c>
      <c r="B571" s="1">
        <v>9119795</v>
      </c>
      <c r="D571" t="s">
        <v>351</v>
      </c>
      <c r="E571" s="2" t="str">
        <f>_xlfn.XLOOKUP(Cat_SKU[[#This Row],[Item]],CAT_MOD_v31[NÚMERO DE ARTÍCULO (SAP)],CAT_MOD_v31[RESUMIDO],"",0)</f>
        <v>Pulsar LS125</v>
      </c>
      <c r="F571" s="2" t="str">
        <f>_xlfn.XLOOKUP(Cat_SKU[[#This Row],[Item]],CAT_MOD_v31[NÚMERO DE ARTÍCULO (SAP)],CAT_MOD_v31[COLOR],"",0)</f>
        <v>Amarillo</v>
      </c>
      <c r="G571" s="2">
        <f>_xlfn.XLOOKUP(Cat_SKU[[#This Row],[Item]],CAT_MOD_v31[NÚMERO DE ARTÍCULO (SAP)],CAT_MOD_v31[AÑO],"",0)</f>
        <v>2024</v>
      </c>
    </row>
    <row r="572" spans="1:7" x14ac:dyDescent="0.35">
      <c r="A572" t="s">
        <v>148</v>
      </c>
      <c r="B572" s="1">
        <v>9142316</v>
      </c>
      <c r="D572" t="s">
        <v>350</v>
      </c>
      <c r="E572" s="2" t="str">
        <f>_xlfn.XLOOKUP(Cat_SKU[[#This Row],[Item]],CAT_MOD_v31[NÚMERO DE ARTÍCULO (SAP)],CAT_MOD_v31[RESUMIDO],"",0)</f>
        <v>Pulsar NS160</v>
      </c>
      <c r="F572" s="2" t="str">
        <f>_xlfn.XLOOKUP(Cat_SKU[[#This Row],[Item]],CAT_MOD_v31[NÚMERO DE ARTÍCULO (SAP)],CAT_MOD_v31[COLOR],"",0)</f>
        <v>Perla</v>
      </c>
      <c r="G572" s="2">
        <f>_xlfn.XLOOKUP(Cat_SKU[[#This Row],[Item]],CAT_MOD_v31[NÚMERO DE ARTÍCULO (SAP)],CAT_MOD_v31[AÑO],"",0)</f>
        <v>2024</v>
      </c>
    </row>
    <row r="573" spans="1:7" x14ac:dyDescent="0.35">
      <c r="A573" t="s">
        <v>148</v>
      </c>
      <c r="B573" s="1">
        <v>9142431</v>
      </c>
      <c r="D573" t="s">
        <v>367</v>
      </c>
      <c r="E573" s="2" t="str">
        <f>_xlfn.XLOOKUP(Cat_SKU[[#This Row],[Item]],CAT_MOD_v31[NÚMERO DE ARTÍCULO (SAP)],CAT_MOD_v31[RESUMIDO],"",0)</f>
        <v>Pulsar NS160</v>
      </c>
      <c r="F573" s="2" t="str">
        <f>_xlfn.XLOOKUP(Cat_SKU[[#This Row],[Item]],CAT_MOD_v31[NÚMERO DE ARTÍCULO (SAP)],CAT_MOD_v31[COLOR],"",0)</f>
        <v>Gris</v>
      </c>
      <c r="G573" s="2">
        <f>_xlfn.XLOOKUP(Cat_SKU[[#This Row],[Item]],CAT_MOD_v31[NÚMERO DE ARTÍCULO (SAP)],CAT_MOD_v31[AÑO],"",0)</f>
        <v>2024</v>
      </c>
    </row>
    <row r="574" spans="1:7" x14ac:dyDescent="0.35">
      <c r="A574" t="s">
        <v>148</v>
      </c>
      <c r="B574" s="1">
        <v>9326663</v>
      </c>
      <c r="C574" t="s">
        <v>777</v>
      </c>
      <c r="D574" t="s">
        <v>881</v>
      </c>
      <c r="E574" s="2" t="str">
        <f>_xlfn.XLOOKUP(Cat_SKU[[#This Row],[Item]],CAT_MOD_v31[NÚMERO DE ARTÍCULO (SAP)],CAT_MOD_v31[RESUMIDO],"",0)</f>
        <v>Pulsar NS160</v>
      </c>
      <c r="F574" s="2" t="str">
        <f>_xlfn.XLOOKUP(Cat_SKU[[#This Row],[Item]],CAT_MOD_v31[NÚMERO DE ARTÍCULO (SAP)],CAT_MOD_v31[COLOR],"",0)</f>
        <v>Negro</v>
      </c>
      <c r="G574" s="2">
        <f>_xlfn.XLOOKUP(Cat_SKU[[#This Row],[Item]],CAT_MOD_v31[NÚMERO DE ARTÍCULO (SAP)],CAT_MOD_v31[AÑO],"",0)</f>
        <v>2020</v>
      </c>
    </row>
    <row r="575" spans="1:7" x14ac:dyDescent="0.35">
      <c r="A575" t="s">
        <v>148</v>
      </c>
      <c r="B575" s="1">
        <v>9470494</v>
      </c>
      <c r="D575" t="s">
        <v>352</v>
      </c>
      <c r="E575" s="2" t="str">
        <f>_xlfn.XLOOKUP(Cat_SKU[[#This Row],[Item]],CAT_MOD_v31[NÚMERO DE ARTÍCULO (SAP)],CAT_MOD_v31[RESUMIDO],"",0)</f>
        <v>Pulsar LS125</v>
      </c>
      <c r="F575" s="2" t="str">
        <f>_xlfn.XLOOKUP(Cat_SKU[[#This Row],[Item]],CAT_MOD_v31[NÚMERO DE ARTÍCULO (SAP)],CAT_MOD_v31[COLOR],"",0)</f>
        <v>Negro</v>
      </c>
      <c r="G575" s="2">
        <f>_xlfn.XLOOKUP(Cat_SKU[[#This Row],[Item]],CAT_MOD_v31[NÚMERO DE ARTÍCULO (SAP)],CAT_MOD_v31[AÑO],"",0)</f>
        <v>2024</v>
      </c>
    </row>
    <row r="576" spans="1:7" x14ac:dyDescent="0.35">
      <c r="A576" t="s">
        <v>148</v>
      </c>
      <c r="B576" s="1">
        <v>9535032</v>
      </c>
      <c r="D576" t="s">
        <v>353</v>
      </c>
      <c r="E576" s="2" t="str">
        <f>_xlfn.XLOOKUP(Cat_SKU[[#This Row],[Item]],CAT_MOD_v31[NÚMERO DE ARTÍCULO (SAP)],CAT_MOD_v31[RESUMIDO],"",0)</f>
        <v>Pulsar NS160</v>
      </c>
      <c r="F576" s="2" t="str">
        <f>_xlfn.XLOOKUP(Cat_SKU[[#This Row],[Item]],CAT_MOD_v31[NÚMERO DE ARTÍCULO (SAP)],CAT_MOD_v31[COLOR],"",0)</f>
        <v>Gris</v>
      </c>
      <c r="G576" s="2">
        <f>_xlfn.XLOOKUP(Cat_SKU[[#This Row],[Item]],CAT_MOD_v31[NÚMERO DE ARTÍCULO (SAP)],CAT_MOD_v31[AÑO],"",0)</f>
        <v>2024</v>
      </c>
    </row>
    <row r="577" spans="1:7" x14ac:dyDescent="0.35">
      <c r="A577" t="s">
        <v>148</v>
      </c>
      <c r="B577" s="1">
        <v>14414467</v>
      </c>
      <c r="C577" t="s">
        <v>8</v>
      </c>
      <c r="D577" t="s">
        <v>301</v>
      </c>
      <c r="E577" s="2" t="str">
        <f>_xlfn.XLOOKUP(Cat_SKU[[#This Row],[Item]],CAT_MOD_v31[NÚMERO DE ARTÍCULO (SAP)],CAT_MOD_v31[RESUMIDO],"",0)</f>
        <v>Pulsar RS200</v>
      </c>
      <c r="F577" s="2" t="str">
        <f>_xlfn.XLOOKUP(Cat_SKU[[#This Row],[Item]],CAT_MOD_v31[NÚMERO DE ARTÍCULO (SAP)],CAT_MOD_v31[COLOR],"",0)</f>
        <v>Gris</v>
      </c>
      <c r="G577" s="2">
        <f>_xlfn.XLOOKUP(Cat_SKU[[#This Row],[Item]],CAT_MOD_v31[NÚMERO DE ARTÍCULO (SAP)],CAT_MOD_v31[AÑO],"",0)</f>
        <v>2024</v>
      </c>
    </row>
    <row r="578" spans="1:7" x14ac:dyDescent="0.35">
      <c r="A578" t="s">
        <v>148</v>
      </c>
      <c r="B578" s="1">
        <v>14414467</v>
      </c>
      <c r="C578" t="s">
        <v>776</v>
      </c>
      <c r="D578" t="s">
        <v>314</v>
      </c>
      <c r="E578" s="2" t="str">
        <f>_xlfn.XLOOKUP(Cat_SKU[[#This Row],[Item]],CAT_MOD_v31[NÚMERO DE ARTÍCULO (SAP)],CAT_MOD_v31[RESUMIDO],"",0)</f>
        <v>Pulsar NS200</v>
      </c>
      <c r="F578" s="2" t="str">
        <f>_xlfn.XLOOKUP(Cat_SKU[[#This Row],[Item]],CAT_MOD_v31[NÚMERO DE ARTÍCULO (SAP)],CAT_MOD_v31[COLOR],"",0)</f>
        <v>Gris</v>
      </c>
      <c r="G578" s="2">
        <f>_xlfn.XLOOKUP(Cat_SKU[[#This Row],[Item]],CAT_MOD_v31[NÚMERO DE ARTÍCULO (SAP)],CAT_MOD_v31[AÑO],"",0)</f>
        <v>2024</v>
      </c>
    </row>
    <row r="579" spans="1:7" x14ac:dyDescent="0.35">
      <c r="A579" t="s">
        <v>148</v>
      </c>
      <c r="B579" s="1">
        <v>15727430</v>
      </c>
      <c r="D579" t="s">
        <v>296</v>
      </c>
      <c r="E579" s="2" t="str">
        <f>_xlfn.XLOOKUP(Cat_SKU[[#This Row],[Item]],CAT_MOD_v31[NÚMERO DE ARTÍCULO (SAP)],CAT_MOD_v31[RESUMIDO],"",0)</f>
        <v>Boxer BM150</v>
      </c>
      <c r="F579" s="2" t="str">
        <f>_xlfn.XLOOKUP(Cat_SKU[[#This Row],[Item]],CAT_MOD_v31[NÚMERO DE ARTÍCULO (SAP)],CAT_MOD_v31[COLOR],"",0)</f>
        <v>Negro</v>
      </c>
      <c r="G579" s="2">
        <f>_xlfn.XLOOKUP(Cat_SKU[[#This Row],[Item]],CAT_MOD_v31[NÚMERO DE ARTÍCULO (SAP)],CAT_MOD_v31[AÑO],"",0)</f>
        <v>2024</v>
      </c>
    </row>
    <row r="580" spans="1:7" x14ac:dyDescent="0.35">
      <c r="A580" t="s">
        <v>148</v>
      </c>
      <c r="B580" s="1">
        <v>15789392</v>
      </c>
      <c r="D580" t="s">
        <v>303</v>
      </c>
      <c r="E580" s="2" t="str">
        <f>_xlfn.XLOOKUP(Cat_SKU[[#This Row],[Item]],CAT_MOD_v31[NÚMERO DE ARTÍCULO (SAP)],CAT_MOD_v31[RESUMIDO],"",0)</f>
        <v>Avenger Cruise 220</v>
      </c>
      <c r="F580" s="2" t="str">
        <f>_xlfn.XLOOKUP(Cat_SKU[[#This Row],[Item]],CAT_MOD_v31[NÚMERO DE ARTÍCULO (SAP)],CAT_MOD_v31[COLOR],"",0)</f>
        <v>Negro</v>
      </c>
      <c r="G580" s="2">
        <f>_xlfn.XLOOKUP(Cat_SKU[[#This Row],[Item]],CAT_MOD_v31[NÚMERO DE ARTÍCULO (SAP)],CAT_MOD_v31[AÑO],"",0)</f>
        <v>2024</v>
      </c>
    </row>
    <row r="581" spans="1:7" x14ac:dyDescent="0.35">
      <c r="A581" t="s">
        <v>148</v>
      </c>
      <c r="B581" s="1">
        <v>15789678</v>
      </c>
      <c r="D581" t="s">
        <v>297</v>
      </c>
      <c r="E581" s="2" t="str">
        <f>_xlfn.XLOOKUP(Cat_SKU[[#This Row],[Item]],CAT_MOD_v31[NÚMERO DE ARTÍCULO (SAP)],CAT_MOD_v31[RESUMIDO],"",0)</f>
        <v>Dominar 400</v>
      </c>
      <c r="F581" s="2" t="str">
        <f>_xlfn.XLOOKUP(Cat_SKU[[#This Row],[Item]],CAT_MOD_v31[NÚMERO DE ARTÍCULO (SAP)],CAT_MOD_v31[COLOR],"",0)</f>
        <v>Negro</v>
      </c>
      <c r="G581" s="2">
        <f>_xlfn.XLOOKUP(Cat_SKU[[#This Row],[Item]],CAT_MOD_v31[NÚMERO DE ARTÍCULO (SAP)],CAT_MOD_v31[AÑO],"",0)</f>
        <v>2024</v>
      </c>
    </row>
    <row r="582" spans="1:7" x14ac:dyDescent="0.35">
      <c r="A582" t="s">
        <v>148</v>
      </c>
      <c r="B582" s="1">
        <v>15790817</v>
      </c>
      <c r="D582" t="s">
        <v>346</v>
      </c>
      <c r="E582" s="2" t="str">
        <f>_xlfn.XLOOKUP(Cat_SKU[[#This Row],[Item]],CAT_MOD_v31[NÚMERO DE ARTÍCULO (SAP)],CAT_MOD_v31[RESUMIDO],"",0)</f>
        <v>Dominar 250</v>
      </c>
      <c r="F582" s="2" t="str">
        <f>_xlfn.XLOOKUP(Cat_SKU[[#This Row],[Item]],CAT_MOD_v31[NÚMERO DE ARTÍCULO (SAP)],CAT_MOD_v31[COLOR],"",0)</f>
        <v>Rojo</v>
      </c>
      <c r="G582" s="2">
        <f>_xlfn.XLOOKUP(Cat_SKU[[#This Row],[Item]],CAT_MOD_v31[NÚMERO DE ARTÍCULO (SAP)],CAT_MOD_v31[AÑO],"",0)</f>
        <v>2024</v>
      </c>
    </row>
    <row r="583" spans="1:7" x14ac:dyDescent="0.35">
      <c r="A583" t="s">
        <v>148</v>
      </c>
      <c r="B583" s="1">
        <v>15791674</v>
      </c>
      <c r="D583" t="s">
        <v>345</v>
      </c>
      <c r="E583" s="2" t="str">
        <f>_xlfn.XLOOKUP(Cat_SKU[[#This Row],[Item]],CAT_MOD_v31[NÚMERO DE ARTÍCULO (SAP)],CAT_MOD_v31[RESUMIDO],"",0)</f>
        <v>Dominar 250</v>
      </c>
      <c r="F583" s="2" t="str">
        <f>_xlfn.XLOOKUP(Cat_SKU[[#This Row],[Item]],CAT_MOD_v31[NÚMERO DE ARTÍCULO (SAP)],CAT_MOD_v31[COLOR],"",0)</f>
        <v>Negro</v>
      </c>
      <c r="G583" s="2">
        <f>_xlfn.XLOOKUP(Cat_SKU[[#This Row],[Item]],CAT_MOD_v31[NÚMERO DE ARTÍCULO (SAP)],CAT_MOD_v31[AÑO],"",0)</f>
        <v>2024</v>
      </c>
    </row>
    <row r="584" spans="1:7" x14ac:dyDescent="0.35">
      <c r="A584" t="s">
        <v>148</v>
      </c>
      <c r="B584" s="1">
        <v>15792566</v>
      </c>
      <c r="D584" t="s">
        <v>347</v>
      </c>
      <c r="E584" s="2" t="str">
        <f>_xlfn.XLOOKUP(Cat_SKU[[#This Row],[Item]],CAT_MOD_v31[NÚMERO DE ARTÍCULO (SAP)],CAT_MOD_v31[RESUMIDO],"",0)</f>
        <v>Dominar 400</v>
      </c>
      <c r="F584" s="2" t="str">
        <f>_xlfn.XLOOKUP(Cat_SKU[[#This Row],[Item]],CAT_MOD_v31[NÚMERO DE ARTÍCULO (SAP)],CAT_MOD_v31[COLOR],"",0)</f>
        <v>Verde</v>
      </c>
      <c r="G584" s="2">
        <f>_xlfn.XLOOKUP(Cat_SKU[[#This Row],[Item]],CAT_MOD_v31[NÚMERO DE ARTÍCULO (SAP)],CAT_MOD_v31[AÑO],"",0)</f>
        <v>2024</v>
      </c>
    </row>
    <row r="585" spans="1:7" x14ac:dyDescent="0.35">
      <c r="A585" t="s">
        <v>148</v>
      </c>
      <c r="B585" s="1">
        <v>15798202</v>
      </c>
      <c r="D585" t="s">
        <v>354</v>
      </c>
      <c r="E585" s="2" t="str">
        <f>_xlfn.XLOOKUP(Cat_SKU[[#This Row],[Item]],CAT_MOD_v31[NÚMERO DE ARTÍCULO (SAP)],CAT_MOD_v31[RESUMIDO],"",0)</f>
        <v>Pulsar NS200</v>
      </c>
      <c r="F585" s="2" t="str">
        <f>_xlfn.XLOOKUP(Cat_SKU[[#This Row],[Item]],CAT_MOD_v31[NÚMERO DE ARTÍCULO (SAP)],CAT_MOD_v31[COLOR],"",0)</f>
        <v>Perla</v>
      </c>
      <c r="G585" s="2">
        <f>_xlfn.XLOOKUP(Cat_SKU[[#This Row],[Item]],CAT_MOD_v31[NÚMERO DE ARTÍCULO (SAP)],CAT_MOD_v31[AÑO],"",0)</f>
        <v>2024</v>
      </c>
    </row>
    <row r="586" spans="1:7" x14ac:dyDescent="0.35">
      <c r="A586" t="s">
        <v>148</v>
      </c>
      <c r="B586" s="1">
        <v>15799345</v>
      </c>
      <c r="D586" t="s">
        <v>301</v>
      </c>
      <c r="E586" s="2" t="str">
        <f>_xlfn.XLOOKUP(Cat_SKU[[#This Row],[Item]],CAT_MOD_v31[NÚMERO DE ARTÍCULO (SAP)],CAT_MOD_v31[RESUMIDO],"",0)</f>
        <v>Pulsar RS200</v>
      </c>
      <c r="F586" s="2" t="str">
        <f>_xlfn.XLOOKUP(Cat_SKU[[#This Row],[Item]],CAT_MOD_v31[NÚMERO DE ARTÍCULO (SAP)],CAT_MOD_v31[COLOR],"",0)</f>
        <v>Gris</v>
      </c>
      <c r="G586" s="2">
        <f>_xlfn.XLOOKUP(Cat_SKU[[#This Row],[Item]],CAT_MOD_v31[NÚMERO DE ARTÍCULO (SAP)],CAT_MOD_v31[AÑO],"",0)</f>
        <v>2024</v>
      </c>
    </row>
    <row r="587" spans="1:7" x14ac:dyDescent="0.35">
      <c r="A587" t="s">
        <v>148</v>
      </c>
      <c r="B587" s="1">
        <v>15800716</v>
      </c>
      <c r="D587" t="s">
        <v>355</v>
      </c>
      <c r="E587" s="2" t="str">
        <f>_xlfn.XLOOKUP(Cat_SKU[[#This Row],[Item]],CAT_MOD_v31[NÚMERO DE ARTÍCULO (SAP)],CAT_MOD_v31[RESUMIDO],"",0)</f>
        <v>Pulsar RS200</v>
      </c>
      <c r="F587" s="2" t="str">
        <f>_xlfn.XLOOKUP(Cat_SKU[[#This Row],[Item]],CAT_MOD_v31[NÚMERO DE ARTÍCULO (SAP)],CAT_MOD_v31[COLOR],"",0)</f>
        <v>Perla</v>
      </c>
      <c r="G587" s="2">
        <f>_xlfn.XLOOKUP(Cat_SKU[[#This Row],[Item]],CAT_MOD_v31[NÚMERO DE ARTÍCULO (SAP)],CAT_MOD_v31[AÑO],"",0)</f>
        <v>2024</v>
      </c>
    </row>
    <row r="588" spans="1:7" x14ac:dyDescent="0.35">
      <c r="A588" t="s">
        <v>148</v>
      </c>
      <c r="B588" s="1">
        <v>15921041</v>
      </c>
      <c r="D588" t="s">
        <v>299</v>
      </c>
      <c r="E588" s="2" t="str">
        <f>_xlfn.XLOOKUP(Cat_SKU[[#This Row],[Item]],CAT_MOD_v31[NÚMERO DE ARTÍCULO (SAP)],CAT_MOD_v31[RESUMIDO],"",0)</f>
        <v>Boxer BM150</v>
      </c>
      <c r="F588" s="2" t="str">
        <f>_xlfn.XLOOKUP(Cat_SKU[[#This Row],[Item]],CAT_MOD_v31[NÚMERO DE ARTÍCULO (SAP)],CAT_MOD_v31[COLOR],"",0)</f>
        <v>Blanco</v>
      </c>
      <c r="G588" s="2">
        <f>_xlfn.XLOOKUP(Cat_SKU[[#This Row],[Item]],CAT_MOD_v31[NÚMERO DE ARTÍCULO (SAP)],CAT_MOD_v31[AÑO],"",0)</f>
        <v>2024</v>
      </c>
    </row>
    <row r="589" spans="1:7" x14ac:dyDescent="0.35">
      <c r="A589" t="s">
        <v>148</v>
      </c>
      <c r="B589" s="1">
        <v>18191825</v>
      </c>
      <c r="C589" t="s">
        <v>783</v>
      </c>
      <c r="D589" t="s">
        <v>829</v>
      </c>
      <c r="E589" s="2" t="str">
        <f>_xlfn.XLOOKUP(Cat_SKU[[#This Row],[Item]],CAT_MOD_v31[NÚMERO DE ARTÍCULO (SAP)],CAT_MOD_v31[RESUMIDO],"",0)</f>
        <v>Dominar 400</v>
      </c>
      <c r="F589" s="2" t="str">
        <f>_xlfn.XLOOKUP(Cat_SKU[[#This Row],[Item]],CAT_MOD_v31[NÚMERO DE ARTÍCULO (SAP)],CAT_MOD_v31[COLOR],"",0)</f>
        <v>Negro</v>
      </c>
      <c r="G589" s="2">
        <f>_xlfn.XLOOKUP(Cat_SKU[[#This Row],[Item]],CAT_MOD_v31[NÚMERO DE ARTÍCULO (SAP)],CAT_MOD_v31[AÑO],"",0)</f>
        <v>2021</v>
      </c>
    </row>
    <row r="590" spans="1:7" x14ac:dyDescent="0.35">
      <c r="A590" t="s">
        <v>148</v>
      </c>
      <c r="B590" s="1">
        <v>18191898</v>
      </c>
      <c r="C590" t="s">
        <v>777</v>
      </c>
      <c r="D590" t="s">
        <v>318</v>
      </c>
      <c r="E590" s="2" t="str">
        <f>_xlfn.XLOOKUP(Cat_SKU[[#This Row],[Item]],CAT_MOD_v31[NÚMERO DE ARTÍCULO (SAP)],CAT_MOD_v31[RESUMIDO],"",0)</f>
        <v>Pulsar NS160</v>
      </c>
      <c r="F590" s="2" t="str">
        <f>_xlfn.XLOOKUP(Cat_SKU[[#This Row],[Item]],CAT_MOD_v31[NÚMERO DE ARTÍCULO (SAP)],CAT_MOD_v31[COLOR],"",0)</f>
        <v>Negro</v>
      </c>
      <c r="G590" s="2">
        <f>_xlfn.XLOOKUP(Cat_SKU[[#This Row],[Item]],CAT_MOD_v31[NÚMERO DE ARTÍCULO (SAP)],CAT_MOD_v31[AÑO],"",0)</f>
        <v>2021</v>
      </c>
    </row>
    <row r="591" spans="1:7" x14ac:dyDescent="0.35">
      <c r="A591" t="s">
        <v>148</v>
      </c>
      <c r="B591" s="1">
        <v>18191932</v>
      </c>
      <c r="C591" t="s">
        <v>777</v>
      </c>
      <c r="D591" t="s">
        <v>410</v>
      </c>
      <c r="E591" s="2" t="str">
        <f>_xlfn.XLOOKUP(Cat_SKU[[#This Row],[Item]],CAT_MOD_v31[NÚMERO DE ARTÍCULO (SAP)],CAT_MOD_v31[RESUMIDO],"",0)</f>
        <v>Pulsar NS160</v>
      </c>
      <c r="F591" s="2" t="str">
        <f>_xlfn.XLOOKUP(Cat_SKU[[#This Row],[Item]],CAT_MOD_v31[NÚMERO DE ARTÍCULO (SAP)],CAT_MOD_v31[COLOR],"",0)</f>
        <v>Azul</v>
      </c>
      <c r="G591" s="2">
        <f>_xlfn.XLOOKUP(Cat_SKU[[#This Row],[Item]],CAT_MOD_v31[NÚMERO DE ARTÍCULO (SAP)],CAT_MOD_v31[AÑO],"",0)</f>
        <v>2021</v>
      </c>
    </row>
    <row r="592" spans="1:7" x14ac:dyDescent="0.35">
      <c r="A592" t="s">
        <v>148</v>
      </c>
      <c r="B592" s="1">
        <v>18220294</v>
      </c>
      <c r="C592" t="s">
        <v>783</v>
      </c>
      <c r="D592" t="s">
        <v>831</v>
      </c>
      <c r="E592" s="2" t="str">
        <f>_xlfn.XLOOKUP(Cat_SKU[[#This Row],[Item]],CAT_MOD_v31[NÚMERO DE ARTÍCULO (SAP)],CAT_MOD_v31[RESUMIDO],"",0)</f>
        <v>Dominar 400</v>
      </c>
      <c r="F592" s="2" t="str">
        <f>_xlfn.XLOOKUP(Cat_SKU[[#This Row],[Item]],CAT_MOD_v31[NÚMERO DE ARTÍCULO (SAP)],CAT_MOD_v31[COLOR],"",0)</f>
        <v>Verde</v>
      </c>
      <c r="G592" s="2">
        <f>_xlfn.XLOOKUP(Cat_SKU[[#This Row],[Item]],CAT_MOD_v31[NÚMERO DE ARTÍCULO (SAP)],CAT_MOD_v31[AÑO],"",0)</f>
        <v>2021</v>
      </c>
    </row>
    <row r="593" spans="1:7" x14ac:dyDescent="0.35">
      <c r="A593" t="s">
        <v>148</v>
      </c>
      <c r="B593" s="1">
        <v>18220418</v>
      </c>
      <c r="C593" t="s">
        <v>776</v>
      </c>
      <c r="D593" t="s">
        <v>844</v>
      </c>
      <c r="E593" s="2" t="str">
        <f>_xlfn.XLOOKUP(Cat_SKU[[#This Row],[Item]],CAT_MOD_v31[NÚMERO DE ARTÍCULO (SAP)],CAT_MOD_v31[RESUMIDO],"",0)</f>
        <v>Pulsar 200 FI</v>
      </c>
      <c r="F593" s="2" t="str">
        <f>_xlfn.XLOOKUP(Cat_SKU[[#This Row],[Item]],CAT_MOD_v31[NÚMERO DE ARTÍCULO (SAP)],CAT_MOD_v31[COLOR],"",0)</f>
        <v>Amarillo</v>
      </c>
      <c r="G593" s="2">
        <f>_xlfn.XLOOKUP(Cat_SKU[[#This Row],[Item]],CAT_MOD_v31[NÚMERO DE ARTÍCULO (SAP)],CAT_MOD_v31[AÑO],"",0)</f>
        <v>2021</v>
      </c>
    </row>
    <row r="594" spans="1:7" x14ac:dyDescent="0.35">
      <c r="A594" t="s">
        <v>148</v>
      </c>
      <c r="B594" s="1">
        <v>18220525</v>
      </c>
      <c r="C594" t="s">
        <v>776</v>
      </c>
      <c r="D594" t="s">
        <v>744</v>
      </c>
      <c r="E594" s="2" t="str">
        <f>_xlfn.XLOOKUP(Cat_SKU[[#This Row],[Item]],CAT_MOD_v31[NÚMERO DE ARTÍCULO (SAP)],CAT_MOD_v31[RESUMIDO],"",0)</f>
        <v>Pulsar NS200</v>
      </c>
      <c r="F594" s="2" t="str">
        <f>_xlfn.XLOOKUP(Cat_SKU[[#This Row],[Item]],CAT_MOD_v31[NÚMERO DE ARTÍCULO (SAP)],CAT_MOD_v31[COLOR],"",0)</f>
        <v>Negro</v>
      </c>
      <c r="G594" s="2">
        <f>_xlfn.XLOOKUP(Cat_SKU[[#This Row],[Item]],CAT_MOD_v31[NÚMERO DE ARTÍCULO (SAP)],CAT_MOD_v31[AÑO],"",0)</f>
        <v>2021</v>
      </c>
    </row>
    <row r="595" spans="1:7" x14ac:dyDescent="0.35">
      <c r="A595" t="s">
        <v>148</v>
      </c>
      <c r="B595" s="1">
        <v>18220632</v>
      </c>
      <c r="C595" t="s">
        <v>776</v>
      </c>
      <c r="D595" t="s">
        <v>849</v>
      </c>
      <c r="E595" s="2" t="str">
        <f>_xlfn.XLOOKUP(Cat_SKU[[#This Row],[Item]],CAT_MOD_v31[NÚMERO DE ARTÍCULO (SAP)],CAT_MOD_v31[RESUMIDO],"",0)</f>
        <v>Pulsar NS200</v>
      </c>
      <c r="F595" s="2" t="str">
        <f>_xlfn.XLOOKUP(Cat_SKU[[#This Row],[Item]],CAT_MOD_v31[NÚMERO DE ARTÍCULO (SAP)],CAT_MOD_v31[COLOR],"",0)</f>
        <v>Blanco</v>
      </c>
      <c r="G595" s="2">
        <f>_xlfn.XLOOKUP(Cat_SKU[[#This Row],[Item]],CAT_MOD_v31[NÚMERO DE ARTÍCULO (SAP)],CAT_MOD_v31[AÑO],"",0)</f>
        <v>2021</v>
      </c>
    </row>
    <row r="596" spans="1:7" x14ac:dyDescent="0.35">
      <c r="A596" t="s">
        <v>148</v>
      </c>
      <c r="B596" s="1">
        <v>19098532</v>
      </c>
      <c r="C596" t="s">
        <v>780</v>
      </c>
      <c r="D596" t="s">
        <v>399</v>
      </c>
      <c r="E596" s="2" t="str">
        <f>_xlfn.XLOOKUP(Cat_SKU[[#This Row],[Item]],CAT_MOD_v31[NÚMERO DE ARTÍCULO (SAP)],CAT_MOD_v31[RESUMIDO],"",0)</f>
        <v>Pulsar LS125</v>
      </c>
      <c r="F596" s="2" t="str">
        <f>_xlfn.XLOOKUP(Cat_SKU[[#This Row],[Item]],CAT_MOD_v31[NÚMERO DE ARTÍCULO (SAP)],CAT_MOD_v31[COLOR],"",0)</f>
        <v>Negro</v>
      </c>
      <c r="G596" s="2">
        <f>_xlfn.XLOOKUP(Cat_SKU[[#This Row],[Item]],CAT_MOD_v31[NÚMERO DE ARTÍCULO (SAP)],CAT_MOD_v31[AÑO],"",0)</f>
        <v>2021</v>
      </c>
    </row>
    <row r="597" spans="1:7" x14ac:dyDescent="0.35">
      <c r="A597" t="s">
        <v>148</v>
      </c>
      <c r="B597" s="1">
        <v>19098596</v>
      </c>
      <c r="C597" t="s">
        <v>780</v>
      </c>
      <c r="D597" t="s">
        <v>397</v>
      </c>
      <c r="E597" s="2" t="str">
        <f>_xlfn.XLOOKUP(Cat_SKU[[#This Row],[Item]],CAT_MOD_v31[NÚMERO DE ARTÍCULO (SAP)],CAT_MOD_v31[RESUMIDO],"",0)</f>
        <v>Pulsar LS125</v>
      </c>
      <c r="F597" s="2" t="str">
        <f>_xlfn.XLOOKUP(Cat_SKU[[#This Row],[Item]],CAT_MOD_v31[NÚMERO DE ARTÍCULO (SAP)],CAT_MOD_v31[COLOR],"",0)</f>
        <v>Amarillo</v>
      </c>
      <c r="G597" s="2">
        <f>_xlfn.XLOOKUP(Cat_SKU[[#This Row],[Item]],CAT_MOD_v31[NÚMERO DE ARTÍCULO (SAP)],CAT_MOD_v31[AÑO],"",0)</f>
        <v>2021</v>
      </c>
    </row>
    <row r="598" spans="1:7" x14ac:dyDescent="0.35">
      <c r="A598" t="s">
        <v>148</v>
      </c>
      <c r="B598" s="1">
        <v>19158066</v>
      </c>
      <c r="C598" t="s">
        <v>775</v>
      </c>
      <c r="D598" t="s">
        <v>418</v>
      </c>
      <c r="E598" s="2" t="str">
        <f>_xlfn.XLOOKUP(Cat_SKU[[#This Row],[Item]],CAT_MOD_v31[NÚMERO DE ARTÍCULO (SAP)],CAT_MOD_v31[RESUMIDO],"",0)</f>
        <v>Avenger Cruise 220</v>
      </c>
      <c r="F598" s="2" t="str">
        <f>_xlfn.XLOOKUP(Cat_SKU[[#This Row],[Item]],CAT_MOD_v31[NÚMERO DE ARTÍCULO (SAP)],CAT_MOD_v31[COLOR],"",0)</f>
        <v>Negro</v>
      </c>
      <c r="G598" s="2">
        <f>_xlfn.XLOOKUP(Cat_SKU[[#This Row],[Item]],CAT_MOD_v31[NÚMERO DE ARTÍCULO (SAP)],CAT_MOD_v31[AÑO],"",0)</f>
        <v>2021</v>
      </c>
    </row>
    <row r="599" spans="1:7" x14ac:dyDescent="0.35">
      <c r="A599" t="s">
        <v>148</v>
      </c>
      <c r="B599" s="1">
        <v>22365139</v>
      </c>
      <c r="C599" t="s">
        <v>784</v>
      </c>
      <c r="D599" t="s">
        <v>824</v>
      </c>
      <c r="E599" s="2" t="str">
        <f>_xlfn.XLOOKUP(Cat_SKU[[#This Row],[Item]],CAT_MOD_v31[NÚMERO DE ARTÍCULO (SAP)],CAT_MOD_v31[RESUMIDO],"",0)</f>
        <v>Dominar 250</v>
      </c>
      <c r="F599" s="2" t="str">
        <f>_xlfn.XLOOKUP(Cat_SKU[[#This Row],[Item]],CAT_MOD_v31[NÚMERO DE ARTÍCULO (SAP)],CAT_MOD_v31[COLOR],"",0)</f>
        <v>Negro</v>
      </c>
      <c r="G599" s="2">
        <f>_xlfn.XLOOKUP(Cat_SKU[[#This Row],[Item]],CAT_MOD_v31[NÚMERO DE ARTÍCULO (SAP)],CAT_MOD_v31[AÑO],"",0)</f>
        <v>2021</v>
      </c>
    </row>
    <row r="600" spans="1:7" x14ac:dyDescent="0.35">
      <c r="A600" t="s">
        <v>148</v>
      </c>
      <c r="B600" s="1">
        <v>22365175</v>
      </c>
      <c r="C600" t="s">
        <v>784</v>
      </c>
      <c r="D600" t="s">
        <v>826</v>
      </c>
      <c r="E600" s="2" t="str">
        <f>_xlfn.XLOOKUP(Cat_SKU[[#This Row],[Item]],CAT_MOD_v31[NÚMERO DE ARTÍCULO (SAP)],CAT_MOD_v31[RESUMIDO],"",0)</f>
        <v>Dominar 250</v>
      </c>
      <c r="F600" s="2" t="str">
        <f>_xlfn.XLOOKUP(Cat_SKU[[#This Row],[Item]],CAT_MOD_v31[NÚMERO DE ARTÍCULO (SAP)],CAT_MOD_v31[COLOR],"",0)</f>
        <v>Rojo</v>
      </c>
      <c r="G600" s="2">
        <f>_xlfn.XLOOKUP(Cat_SKU[[#This Row],[Item]],CAT_MOD_v31[NÚMERO DE ARTÍCULO (SAP)],CAT_MOD_v31[AÑO],"",0)</f>
        <v>2021</v>
      </c>
    </row>
    <row r="601" spans="1:7" x14ac:dyDescent="0.35">
      <c r="A601" t="s">
        <v>148</v>
      </c>
      <c r="B601" s="1">
        <v>24066780</v>
      </c>
      <c r="C601" t="s">
        <v>777</v>
      </c>
      <c r="D601" t="s">
        <v>880</v>
      </c>
      <c r="E601" s="2" t="str">
        <f>_xlfn.XLOOKUP(Cat_SKU[[#This Row],[Item]],CAT_MOD_v31[NÚMERO DE ARTÍCULO (SAP)],CAT_MOD_v31[RESUMIDO],"",0)</f>
        <v>Pulsar NS160</v>
      </c>
      <c r="F601" s="2" t="str">
        <f>_xlfn.XLOOKUP(Cat_SKU[[#This Row],[Item]],CAT_MOD_v31[NÚMERO DE ARTÍCULO (SAP)],CAT_MOD_v31[COLOR],"",0)</f>
        <v>Gris</v>
      </c>
      <c r="G601" s="2">
        <f>_xlfn.XLOOKUP(Cat_SKU[[#This Row],[Item]],CAT_MOD_v31[NÚMERO DE ARTÍCULO (SAP)],CAT_MOD_v31[AÑO],"",0)</f>
        <v>2021</v>
      </c>
    </row>
    <row r="602" spans="1:7" x14ac:dyDescent="0.35">
      <c r="A602" t="s">
        <v>148</v>
      </c>
      <c r="B602" s="1">
        <v>24066860</v>
      </c>
      <c r="C602" t="s">
        <v>777</v>
      </c>
      <c r="D602" t="s">
        <v>410</v>
      </c>
      <c r="E602" s="2" t="str">
        <f>_xlfn.XLOOKUP(Cat_SKU[[#This Row],[Item]],CAT_MOD_v31[NÚMERO DE ARTÍCULO (SAP)],CAT_MOD_v31[RESUMIDO],"",0)</f>
        <v>Pulsar NS160</v>
      </c>
      <c r="F602" s="2" t="str">
        <f>_xlfn.XLOOKUP(Cat_SKU[[#This Row],[Item]],CAT_MOD_v31[NÚMERO DE ARTÍCULO (SAP)],CAT_MOD_v31[COLOR],"",0)</f>
        <v>Azul</v>
      </c>
      <c r="G602" s="2">
        <f>_xlfn.XLOOKUP(Cat_SKU[[#This Row],[Item]],CAT_MOD_v31[NÚMERO DE ARTÍCULO (SAP)],CAT_MOD_v31[AÑO],"",0)</f>
        <v>2021</v>
      </c>
    </row>
    <row r="603" spans="1:7" x14ac:dyDescent="0.35">
      <c r="A603" t="s">
        <v>148</v>
      </c>
      <c r="B603" s="1">
        <v>24066897</v>
      </c>
      <c r="C603" t="s">
        <v>776</v>
      </c>
      <c r="D603" t="s">
        <v>849</v>
      </c>
      <c r="E603" s="2" t="str">
        <f>_xlfn.XLOOKUP(Cat_SKU[[#This Row],[Item]],CAT_MOD_v31[NÚMERO DE ARTÍCULO (SAP)],CAT_MOD_v31[RESUMIDO],"",0)</f>
        <v>Pulsar NS200</v>
      </c>
      <c r="F603" s="2" t="str">
        <f>_xlfn.XLOOKUP(Cat_SKU[[#This Row],[Item]],CAT_MOD_v31[NÚMERO DE ARTÍCULO (SAP)],CAT_MOD_v31[COLOR],"",0)</f>
        <v>Blanco</v>
      </c>
      <c r="G603" s="2">
        <f>_xlfn.XLOOKUP(Cat_SKU[[#This Row],[Item]],CAT_MOD_v31[NÚMERO DE ARTÍCULO (SAP)],CAT_MOD_v31[AÑO],"",0)</f>
        <v>2021</v>
      </c>
    </row>
    <row r="604" spans="1:7" x14ac:dyDescent="0.35">
      <c r="A604" t="s">
        <v>148</v>
      </c>
      <c r="B604" s="1">
        <v>24066940</v>
      </c>
      <c r="C604" t="s">
        <v>776</v>
      </c>
      <c r="D604" t="s">
        <v>395</v>
      </c>
      <c r="E604" s="2" t="str">
        <f>_xlfn.XLOOKUP(Cat_SKU[[#This Row],[Item]],CAT_MOD_v31[NÚMERO DE ARTÍCULO (SAP)],CAT_MOD_v31[RESUMIDO],"",0)</f>
        <v>Pulsar NS200</v>
      </c>
      <c r="F604" s="2" t="str">
        <f>_xlfn.XLOOKUP(Cat_SKU[[#This Row],[Item]],CAT_MOD_v31[NÚMERO DE ARTÍCULO (SAP)],CAT_MOD_v31[COLOR],"",0)</f>
        <v>Gris</v>
      </c>
      <c r="G604" s="2">
        <f>_xlfn.XLOOKUP(Cat_SKU[[#This Row],[Item]],CAT_MOD_v31[NÚMERO DE ARTÍCULO (SAP)],CAT_MOD_v31[AÑO],"",0)</f>
        <v>2021</v>
      </c>
    </row>
    <row r="605" spans="1:7" x14ac:dyDescent="0.35">
      <c r="A605" t="s">
        <v>148</v>
      </c>
      <c r="B605" s="1">
        <v>29054506</v>
      </c>
      <c r="C605" t="s">
        <v>783</v>
      </c>
      <c r="D605" t="s">
        <v>378</v>
      </c>
      <c r="E605" s="2" t="str">
        <f>_xlfn.XLOOKUP(Cat_SKU[[#This Row],[Item]],CAT_MOD_v31[NÚMERO DE ARTÍCULO (SAP)],CAT_MOD_v31[RESUMIDO],"",0)</f>
        <v>Dominar 400</v>
      </c>
      <c r="F605" s="2" t="str">
        <f>_xlfn.XLOOKUP(Cat_SKU[[#This Row],[Item]],CAT_MOD_v31[NÚMERO DE ARTÍCULO (SAP)],CAT_MOD_v31[COLOR],"",0)</f>
        <v>Negro</v>
      </c>
      <c r="G605" s="2">
        <f>_xlfn.XLOOKUP(Cat_SKU[[#This Row],[Item]],CAT_MOD_v31[NÚMERO DE ARTÍCULO (SAP)],CAT_MOD_v31[AÑO],"",0)</f>
        <v>2022</v>
      </c>
    </row>
    <row r="606" spans="1:7" x14ac:dyDescent="0.35">
      <c r="A606" t="s">
        <v>148</v>
      </c>
      <c r="B606" s="1">
        <v>29054542</v>
      </c>
      <c r="C606" t="s">
        <v>783</v>
      </c>
      <c r="D606" t="s">
        <v>832</v>
      </c>
      <c r="E606" s="2" t="str">
        <f>_xlfn.XLOOKUP(Cat_SKU[[#This Row],[Item]],CAT_MOD_v31[NÚMERO DE ARTÍCULO (SAP)],CAT_MOD_v31[RESUMIDO],"",0)</f>
        <v>Dominar 400</v>
      </c>
      <c r="F606" s="2" t="str">
        <f>_xlfn.XLOOKUP(Cat_SKU[[#This Row],[Item]],CAT_MOD_v31[NÚMERO DE ARTÍCULO (SAP)],CAT_MOD_v31[COLOR],"",0)</f>
        <v>Verde</v>
      </c>
      <c r="G606" s="2">
        <f>_xlfn.XLOOKUP(Cat_SKU[[#This Row],[Item]],CAT_MOD_v31[NÚMERO DE ARTÍCULO (SAP)],CAT_MOD_v31[AÑO],"",0)</f>
        <v>2022</v>
      </c>
    </row>
    <row r="607" spans="1:7" x14ac:dyDescent="0.35">
      <c r="A607" t="s">
        <v>148</v>
      </c>
      <c r="B607" s="1">
        <v>29054579</v>
      </c>
      <c r="C607" t="s">
        <v>784</v>
      </c>
      <c r="D607" t="s">
        <v>825</v>
      </c>
      <c r="E607" s="2" t="str">
        <f>_xlfn.XLOOKUP(Cat_SKU[[#This Row],[Item]],CAT_MOD_v31[NÚMERO DE ARTÍCULO (SAP)],CAT_MOD_v31[RESUMIDO],"",0)</f>
        <v>Dominar 250</v>
      </c>
      <c r="F607" s="2" t="str">
        <f>_xlfn.XLOOKUP(Cat_SKU[[#This Row],[Item]],CAT_MOD_v31[NÚMERO DE ARTÍCULO (SAP)],CAT_MOD_v31[COLOR],"",0)</f>
        <v>Negro</v>
      </c>
      <c r="G607" s="2">
        <f>_xlfn.XLOOKUP(Cat_SKU[[#This Row],[Item]],CAT_MOD_v31[NÚMERO DE ARTÍCULO (SAP)],CAT_MOD_v31[AÑO],"",0)</f>
        <v>2022</v>
      </c>
    </row>
    <row r="608" spans="1:7" x14ac:dyDescent="0.35">
      <c r="A608" t="s">
        <v>148</v>
      </c>
      <c r="B608" s="1">
        <v>29054604</v>
      </c>
      <c r="C608" t="s">
        <v>784</v>
      </c>
      <c r="D608" t="s">
        <v>876</v>
      </c>
      <c r="E608" s="2" t="str">
        <f>_xlfn.XLOOKUP(Cat_SKU[[#This Row],[Item]],CAT_MOD_v31[NÚMERO DE ARTÍCULO (SAP)],CAT_MOD_v31[RESUMIDO],"",0)</f>
        <v>Dominar 250</v>
      </c>
      <c r="F608" s="2" t="str">
        <f>_xlfn.XLOOKUP(Cat_SKU[[#This Row],[Item]],CAT_MOD_v31[NÚMERO DE ARTÍCULO (SAP)],CAT_MOD_v31[COLOR],"",0)</f>
        <v>Rojo</v>
      </c>
      <c r="G608" s="2">
        <f>_xlfn.XLOOKUP(Cat_SKU[[#This Row],[Item]],CAT_MOD_v31[NÚMERO DE ARTÍCULO (SAP)],CAT_MOD_v31[AÑO],"",0)</f>
        <v>2022</v>
      </c>
    </row>
    <row r="609" spans="1:7" x14ac:dyDescent="0.35">
      <c r="A609" t="s">
        <v>148</v>
      </c>
      <c r="B609" s="1">
        <v>29054659</v>
      </c>
      <c r="C609" t="s">
        <v>775</v>
      </c>
      <c r="D609" t="s">
        <v>319</v>
      </c>
      <c r="E609" s="2" t="str">
        <f>_xlfn.XLOOKUP(Cat_SKU[[#This Row],[Item]],CAT_MOD_v31[NÚMERO DE ARTÍCULO (SAP)],CAT_MOD_v31[RESUMIDO],"",0)</f>
        <v>Avenger Cruise 220</v>
      </c>
      <c r="F609" s="2" t="str">
        <f>_xlfn.XLOOKUP(Cat_SKU[[#This Row],[Item]],CAT_MOD_v31[NÚMERO DE ARTÍCULO (SAP)],CAT_MOD_v31[COLOR],"",0)</f>
        <v>Negro</v>
      </c>
      <c r="G609" s="2">
        <f>_xlfn.XLOOKUP(Cat_SKU[[#This Row],[Item]],CAT_MOD_v31[NÚMERO DE ARTÍCULO (SAP)],CAT_MOD_v31[AÑO],"",0)</f>
        <v>2022</v>
      </c>
    </row>
    <row r="610" spans="1:7" x14ac:dyDescent="0.35">
      <c r="A610" t="s">
        <v>148</v>
      </c>
      <c r="B610" s="1">
        <v>29054695</v>
      </c>
      <c r="C610" t="s">
        <v>777</v>
      </c>
      <c r="D610" t="s">
        <v>843</v>
      </c>
      <c r="E610" s="2" t="str">
        <f>_xlfn.XLOOKUP(Cat_SKU[[#This Row],[Item]],CAT_MOD_v31[NÚMERO DE ARTÍCULO (SAP)],CAT_MOD_v31[RESUMIDO],"",0)</f>
        <v>Pulsar NS160</v>
      </c>
      <c r="F610" s="2" t="str">
        <f>_xlfn.XLOOKUP(Cat_SKU[[#This Row],[Item]],CAT_MOD_v31[NÚMERO DE ARTÍCULO (SAP)],CAT_MOD_v31[COLOR],"",0)</f>
        <v>Gris</v>
      </c>
      <c r="G610" s="2">
        <f>_xlfn.XLOOKUP(Cat_SKU[[#This Row],[Item]],CAT_MOD_v31[NÚMERO DE ARTÍCULO (SAP)],CAT_MOD_v31[AÑO],"",0)</f>
        <v>2022</v>
      </c>
    </row>
    <row r="611" spans="1:7" x14ac:dyDescent="0.35">
      <c r="A611" t="s">
        <v>148</v>
      </c>
      <c r="B611" s="1">
        <v>29054720</v>
      </c>
      <c r="C611" t="s">
        <v>777</v>
      </c>
      <c r="D611" t="s">
        <v>322</v>
      </c>
      <c r="E611" s="2" t="str">
        <f>_xlfn.XLOOKUP(Cat_SKU[[#This Row],[Item]],CAT_MOD_v31[NÚMERO DE ARTÍCULO (SAP)],CAT_MOD_v31[RESUMIDO],"",0)</f>
        <v>Pulsar NS160</v>
      </c>
      <c r="F611" s="2" t="str">
        <f>_xlfn.XLOOKUP(Cat_SKU[[#This Row],[Item]],CAT_MOD_v31[NÚMERO DE ARTÍCULO (SAP)],CAT_MOD_v31[COLOR],"",0)</f>
        <v>Azul</v>
      </c>
      <c r="G611" s="2">
        <f>_xlfn.XLOOKUP(Cat_SKU[[#This Row],[Item]],CAT_MOD_v31[NÚMERO DE ARTÍCULO (SAP)],CAT_MOD_v31[AÑO],"",0)</f>
        <v>2022</v>
      </c>
    </row>
    <row r="612" spans="1:7" x14ac:dyDescent="0.35">
      <c r="A612" t="s">
        <v>148</v>
      </c>
      <c r="B612" s="1">
        <v>29054800</v>
      </c>
      <c r="C612" t="s">
        <v>780</v>
      </c>
      <c r="D612" t="s">
        <v>323</v>
      </c>
      <c r="E612" s="2" t="str">
        <f>_xlfn.XLOOKUP(Cat_SKU[[#This Row],[Item]],CAT_MOD_v31[NÚMERO DE ARTÍCULO (SAP)],CAT_MOD_v31[RESUMIDO],"",0)</f>
        <v>Pulsar LS125</v>
      </c>
      <c r="F612" s="2" t="str">
        <f>_xlfn.XLOOKUP(Cat_SKU[[#This Row],[Item]],CAT_MOD_v31[NÚMERO DE ARTÍCULO (SAP)],CAT_MOD_v31[COLOR],"",0)</f>
        <v>Negro</v>
      </c>
      <c r="G612" s="2">
        <f>_xlfn.XLOOKUP(Cat_SKU[[#This Row],[Item]],CAT_MOD_v31[NÚMERO DE ARTÍCULO (SAP)],CAT_MOD_v31[AÑO],"",0)</f>
        <v>2022</v>
      </c>
    </row>
    <row r="613" spans="1:7" x14ac:dyDescent="0.35">
      <c r="A613" t="s">
        <v>148</v>
      </c>
      <c r="B613" s="1">
        <v>29054864</v>
      </c>
      <c r="C613" t="s">
        <v>780</v>
      </c>
      <c r="D613" t="s">
        <v>398</v>
      </c>
      <c r="E613" s="2" t="str">
        <f>_xlfn.XLOOKUP(Cat_SKU[[#This Row],[Item]],CAT_MOD_v31[NÚMERO DE ARTÍCULO (SAP)],CAT_MOD_v31[RESUMIDO],"",0)</f>
        <v>Pulsar LS125</v>
      </c>
      <c r="F613" s="2" t="str">
        <f>_xlfn.XLOOKUP(Cat_SKU[[#This Row],[Item]],CAT_MOD_v31[NÚMERO DE ARTÍCULO (SAP)],CAT_MOD_v31[COLOR],"",0)</f>
        <v>Amarillo</v>
      </c>
      <c r="G613" s="2">
        <f>_xlfn.XLOOKUP(Cat_SKU[[#This Row],[Item]],CAT_MOD_v31[NÚMERO DE ARTÍCULO (SAP)],CAT_MOD_v31[AÑO],"",0)</f>
        <v>2022</v>
      </c>
    </row>
    <row r="614" spans="1:7" x14ac:dyDescent="0.35">
      <c r="A614" t="s">
        <v>148</v>
      </c>
      <c r="B614" s="1">
        <v>29054935</v>
      </c>
      <c r="C614" t="s">
        <v>782</v>
      </c>
      <c r="D614" t="s">
        <v>384</v>
      </c>
      <c r="E614" s="2" t="str">
        <f>_xlfn.XLOOKUP(Cat_SKU[[#This Row],[Item]],CAT_MOD_v31[NÚMERO DE ARTÍCULO (SAP)],CAT_MOD_v31[RESUMIDO],"",0)</f>
        <v>Pulsar RS200</v>
      </c>
      <c r="F614" s="2" t="str">
        <f>_xlfn.XLOOKUP(Cat_SKU[[#This Row],[Item]],CAT_MOD_v31[NÚMERO DE ARTÍCULO (SAP)],CAT_MOD_v31[COLOR],"",0)</f>
        <v>Gris</v>
      </c>
      <c r="G614" s="2">
        <f>_xlfn.XLOOKUP(Cat_SKU[[#This Row],[Item]],CAT_MOD_v31[NÚMERO DE ARTÍCULO (SAP)],CAT_MOD_v31[AÑO],"",0)</f>
        <v>2022</v>
      </c>
    </row>
    <row r="615" spans="1:7" x14ac:dyDescent="0.35">
      <c r="A615" t="s">
        <v>148</v>
      </c>
      <c r="B615" s="1">
        <v>29054971</v>
      </c>
      <c r="C615" t="s">
        <v>782</v>
      </c>
      <c r="D615" t="s">
        <v>852</v>
      </c>
      <c r="E615" s="2" t="str">
        <f>_xlfn.XLOOKUP(Cat_SKU[[#This Row],[Item]],CAT_MOD_v31[NÚMERO DE ARTÍCULO (SAP)],CAT_MOD_v31[RESUMIDO],"",0)</f>
        <v>Pulsar RS200</v>
      </c>
      <c r="F615" s="2" t="str">
        <f>_xlfn.XLOOKUP(Cat_SKU[[#This Row],[Item]],CAT_MOD_v31[NÚMERO DE ARTÍCULO (SAP)],CAT_MOD_v31[COLOR],"",0)</f>
        <v>Blanco</v>
      </c>
      <c r="G615" s="2">
        <f>_xlfn.XLOOKUP(Cat_SKU[[#This Row],[Item]],CAT_MOD_v31[NÚMERO DE ARTÍCULO (SAP)],CAT_MOD_v31[AÑO],"",0)</f>
        <v>2022</v>
      </c>
    </row>
    <row r="616" spans="1:7" x14ac:dyDescent="0.35">
      <c r="A616" t="s">
        <v>148</v>
      </c>
      <c r="B616" s="1">
        <v>29055050</v>
      </c>
      <c r="C616" t="s">
        <v>820</v>
      </c>
      <c r="D616" t="s">
        <v>404</v>
      </c>
      <c r="E616" s="2" t="str">
        <f>_xlfn.XLOOKUP(Cat_SKU[[#This Row],[Item]],CAT_MOD_v31[NÚMERO DE ARTÍCULO (SAP)],CAT_MOD_v31[RESUMIDO],"",0)</f>
        <v>Pulsar 220</v>
      </c>
      <c r="F616" s="2" t="str">
        <f>_xlfn.XLOOKUP(Cat_SKU[[#This Row],[Item]],CAT_MOD_v31[NÚMERO DE ARTÍCULO (SAP)],CAT_MOD_v31[COLOR],"",0)</f>
        <v>Negro</v>
      </c>
      <c r="G616" s="2">
        <f>_xlfn.XLOOKUP(Cat_SKU[[#This Row],[Item]],CAT_MOD_v31[NÚMERO DE ARTÍCULO (SAP)],CAT_MOD_v31[AÑO],"",0)</f>
        <v>2021</v>
      </c>
    </row>
    <row r="617" spans="1:7" x14ac:dyDescent="0.35">
      <c r="A617" t="s">
        <v>148</v>
      </c>
      <c r="B617" s="1">
        <v>29055112</v>
      </c>
      <c r="C617" t="s">
        <v>819</v>
      </c>
      <c r="D617" t="s">
        <v>401</v>
      </c>
      <c r="E617" s="2" t="str">
        <f>_xlfn.XLOOKUP(Cat_SKU[[#This Row],[Item]],CAT_MOD_v31[NÚMERO DE ARTÍCULO (SAP)],CAT_MOD_v31[RESUMIDO],"",0)</f>
        <v>Pulsar 150</v>
      </c>
      <c r="F617" s="2" t="str">
        <f>_xlfn.XLOOKUP(Cat_SKU[[#This Row],[Item]],CAT_MOD_v31[NÚMERO DE ARTÍCULO (SAP)],CAT_MOD_v31[COLOR],"",0)</f>
        <v>Negro</v>
      </c>
      <c r="G617" s="2">
        <f>_xlfn.XLOOKUP(Cat_SKU[[#This Row],[Item]],CAT_MOD_v31[NÚMERO DE ARTÍCULO (SAP)],CAT_MOD_v31[AÑO],"",0)</f>
        <v>2022</v>
      </c>
    </row>
    <row r="618" spans="1:7" x14ac:dyDescent="0.35">
      <c r="A618" t="s">
        <v>148</v>
      </c>
      <c r="B618" s="1">
        <v>29055210</v>
      </c>
      <c r="C618" t="s">
        <v>781</v>
      </c>
      <c r="D618" t="s">
        <v>320</v>
      </c>
      <c r="E618" s="2" t="str">
        <f>_xlfn.XLOOKUP(Cat_SKU[[#This Row],[Item]],CAT_MOD_v31[NÚMERO DE ARTÍCULO (SAP)],CAT_MOD_v31[RESUMIDO],"",0)</f>
        <v>Boxer BM150</v>
      </c>
      <c r="F618" s="2" t="str">
        <f>_xlfn.XLOOKUP(Cat_SKU[[#This Row],[Item]],CAT_MOD_v31[NÚMERO DE ARTÍCULO (SAP)],CAT_MOD_v31[COLOR],"",0)</f>
        <v>Blanco</v>
      </c>
      <c r="G618" s="2">
        <f>_xlfn.XLOOKUP(Cat_SKU[[#This Row],[Item]],CAT_MOD_v31[NÚMERO DE ARTÍCULO (SAP)],CAT_MOD_v31[AÑO],"",0)</f>
        <v>2022</v>
      </c>
    </row>
    <row r="619" spans="1:7" x14ac:dyDescent="0.35">
      <c r="A619" t="s">
        <v>148</v>
      </c>
      <c r="B619" s="1">
        <v>29057950</v>
      </c>
      <c r="C619" t="s">
        <v>776</v>
      </c>
      <c r="D619" t="s">
        <v>393</v>
      </c>
      <c r="E619" s="2" t="str">
        <f>_xlfn.XLOOKUP(Cat_SKU[[#This Row],[Item]],CAT_MOD_v31[NÚMERO DE ARTÍCULO (SAP)],CAT_MOD_v31[RESUMIDO],"",0)</f>
        <v>Pulsar 200 FI</v>
      </c>
      <c r="F619" s="2" t="str">
        <f>_xlfn.XLOOKUP(Cat_SKU[[#This Row],[Item]],CAT_MOD_v31[NÚMERO DE ARTÍCULO (SAP)],CAT_MOD_v31[COLOR],"",0)</f>
        <v>Rojo</v>
      </c>
      <c r="G619" s="2">
        <f>_xlfn.XLOOKUP(Cat_SKU[[#This Row],[Item]],CAT_MOD_v31[NÚMERO DE ARTÍCULO (SAP)],CAT_MOD_v31[AÑO],"",0)</f>
        <v>2022</v>
      </c>
    </row>
    <row r="620" spans="1:7" x14ac:dyDescent="0.35">
      <c r="A620" t="s">
        <v>148</v>
      </c>
      <c r="B620" s="1">
        <v>29058002</v>
      </c>
      <c r="C620" t="s">
        <v>776</v>
      </c>
      <c r="D620" t="s">
        <v>586</v>
      </c>
      <c r="E620" s="2" t="str">
        <f>_xlfn.XLOOKUP(Cat_SKU[[#This Row],[Item]],CAT_MOD_v31[NÚMERO DE ARTÍCULO (SAP)],CAT_MOD_v31[RESUMIDO],"",0)</f>
        <v>Pulsar 200 FI</v>
      </c>
      <c r="F620" s="2" t="str">
        <f>_xlfn.XLOOKUP(Cat_SKU[[#This Row],[Item]],CAT_MOD_v31[NÚMERO DE ARTÍCULO (SAP)],CAT_MOD_v31[COLOR],"",0)</f>
        <v>Gris</v>
      </c>
      <c r="G620" s="2">
        <f>_xlfn.XLOOKUP(Cat_SKU[[#This Row],[Item]],CAT_MOD_v31[NÚMERO DE ARTÍCULO (SAP)],CAT_MOD_v31[AÑO],"",0)</f>
        <v>2022</v>
      </c>
    </row>
    <row r="621" spans="1:7" x14ac:dyDescent="0.35">
      <c r="A621" t="s">
        <v>148</v>
      </c>
      <c r="B621" s="1">
        <v>30473524</v>
      </c>
      <c r="C621" t="s">
        <v>776</v>
      </c>
      <c r="D621" t="s">
        <v>396</v>
      </c>
      <c r="E621" s="2" t="str">
        <f>_xlfn.XLOOKUP(Cat_SKU[[#This Row],[Item]],CAT_MOD_v31[NÚMERO DE ARTÍCULO (SAP)],CAT_MOD_v31[RESUMIDO],"",0)</f>
        <v>Pulsar NS200</v>
      </c>
      <c r="F621" s="2" t="str">
        <f>_xlfn.XLOOKUP(Cat_SKU[[#This Row],[Item]],CAT_MOD_v31[NÚMERO DE ARTÍCULO (SAP)],CAT_MOD_v31[COLOR],"",0)</f>
        <v>Gris</v>
      </c>
      <c r="G621" s="2">
        <f>_xlfn.XLOOKUP(Cat_SKU[[#This Row],[Item]],CAT_MOD_v31[NÚMERO DE ARTÍCULO (SAP)],CAT_MOD_v31[AÑO],"",0)</f>
        <v>2022</v>
      </c>
    </row>
    <row r="622" spans="1:7" x14ac:dyDescent="0.35">
      <c r="A622" t="s">
        <v>148</v>
      </c>
      <c r="B622" s="1">
        <v>31170108</v>
      </c>
      <c r="D622" t="s">
        <v>277</v>
      </c>
      <c r="E622" s="2" t="str">
        <f>_xlfn.XLOOKUP(Cat_SKU[[#This Row],[Item]],CAT_MOD_v31[NÚMERO DE ARTÍCULO (SAP)],CAT_MOD_v31[RESUMIDO],"",0)</f>
        <v>Pulsar NS160 UG</v>
      </c>
      <c r="F622" s="2" t="str">
        <f>_xlfn.XLOOKUP(Cat_SKU[[#This Row],[Item]],CAT_MOD_v31[NÚMERO DE ARTÍCULO (SAP)],CAT_MOD_v31[COLOR],"",0)</f>
        <v>Negro</v>
      </c>
      <c r="G622" s="2">
        <f>_xlfn.XLOOKUP(Cat_SKU[[#This Row],[Item]],CAT_MOD_v31[NÚMERO DE ARTÍCULO (SAP)],CAT_MOD_v31[AÑO],"",0)</f>
        <v>2024</v>
      </c>
    </row>
    <row r="623" spans="1:7" x14ac:dyDescent="0.35">
      <c r="A623" t="s">
        <v>148</v>
      </c>
      <c r="B623" s="1">
        <v>31170402</v>
      </c>
      <c r="D623" t="s">
        <v>292</v>
      </c>
      <c r="E623" s="2" t="str">
        <f>_xlfn.XLOOKUP(Cat_SKU[[#This Row],[Item]],CAT_MOD_v31[NÚMERO DE ARTÍCULO (SAP)],CAT_MOD_v31[RESUMIDO],"",0)</f>
        <v>Pulsar NS160 UG</v>
      </c>
      <c r="F623" s="2" t="str">
        <f>_xlfn.XLOOKUP(Cat_SKU[[#This Row],[Item]],CAT_MOD_v31[NÚMERO DE ARTÍCULO (SAP)],CAT_MOD_v31[COLOR],"",0)</f>
        <v>Gris</v>
      </c>
      <c r="G623" s="2">
        <f>_xlfn.XLOOKUP(Cat_SKU[[#This Row],[Item]],CAT_MOD_v31[NÚMERO DE ARTÍCULO (SAP)],CAT_MOD_v31[AÑO],"",0)</f>
        <v>2024</v>
      </c>
    </row>
    <row r="624" spans="1:7" x14ac:dyDescent="0.35">
      <c r="A624" t="s">
        <v>148</v>
      </c>
      <c r="B624" s="1">
        <v>31170680</v>
      </c>
      <c r="D624" t="s">
        <v>295</v>
      </c>
      <c r="E624" s="2" t="str">
        <f>_xlfn.XLOOKUP(Cat_SKU[[#This Row],[Item]],CAT_MOD_v31[NÚMERO DE ARTÍCULO (SAP)],CAT_MOD_v31[RESUMIDO],"",0)</f>
        <v>Pulsar NS160 UG</v>
      </c>
      <c r="F624" s="2" t="str">
        <f>_xlfn.XLOOKUP(Cat_SKU[[#This Row],[Item]],CAT_MOD_v31[NÚMERO DE ARTÍCULO (SAP)],CAT_MOD_v31[COLOR],"",0)</f>
        <v>Perla</v>
      </c>
      <c r="G624" s="2">
        <f>_xlfn.XLOOKUP(Cat_SKU[[#This Row],[Item]],CAT_MOD_v31[NÚMERO DE ARTÍCULO (SAP)],CAT_MOD_v31[AÑO],"",0)</f>
        <v>2024</v>
      </c>
    </row>
    <row r="625" spans="1:7" x14ac:dyDescent="0.35">
      <c r="A625" t="s">
        <v>148</v>
      </c>
      <c r="B625" s="1">
        <v>31171223</v>
      </c>
      <c r="D625" t="s">
        <v>298</v>
      </c>
      <c r="E625" s="2" t="str">
        <f>_xlfn.XLOOKUP(Cat_SKU[[#This Row],[Item]],CAT_MOD_v31[NÚMERO DE ARTÍCULO (SAP)],CAT_MOD_v31[RESUMIDO],"",0)</f>
        <v>Pulsar NS200 UG</v>
      </c>
      <c r="F625" s="2" t="str">
        <f>_xlfn.XLOOKUP(Cat_SKU[[#This Row],[Item]],CAT_MOD_v31[NÚMERO DE ARTÍCULO (SAP)],CAT_MOD_v31[COLOR],"",0)</f>
        <v>Perla</v>
      </c>
      <c r="G625" s="2">
        <f>_xlfn.XLOOKUP(Cat_SKU[[#This Row],[Item]],CAT_MOD_v31[NÚMERO DE ARTÍCULO (SAP)],CAT_MOD_v31[AÑO],"",0)</f>
        <v>2024</v>
      </c>
    </row>
    <row r="626" spans="1:7" x14ac:dyDescent="0.35">
      <c r="A626" t="s">
        <v>148</v>
      </c>
      <c r="B626" s="1">
        <v>31171447</v>
      </c>
      <c r="D626" t="s">
        <v>302</v>
      </c>
      <c r="E626" s="2" t="str">
        <f>_xlfn.XLOOKUP(Cat_SKU[[#This Row],[Item]],CAT_MOD_v31[NÚMERO DE ARTÍCULO (SAP)],CAT_MOD_v31[RESUMIDO],"",0)</f>
        <v>Pulsar NS200 UG</v>
      </c>
      <c r="F626" s="2" t="str">
        <f>_xlfn.XLOOKUP(Cat_SKU[[#This Row],[Item]],CAT_MOD_v31[NÚMERO DE ARTÍCULO (SAP)],CAT_MOD_v31[COLOR],"",0)</f>
        <v>Gris</v>
      </c>
      <c r="G626" s="2">
        <f>_xlfn.XLOOKUP(Cat_SKU[[#This Row],[Item]],CAT_MOD_v31[NÚMERO DE ARTÍCULO (SAP)],CAT_MOD_v31[AÑO],"",0)</f>
        <v>2024</v>
      </c>
    </row>
    <row r="627" spans="1:7" x14ac:dyDescent="0.35">
      <c r="A627" t="s">
        <v>148</v>
      </c>
      <c r="B627" s="1">
        <v>31171689</v>
      </c>
      <c r="D627" t="s">
        <v>291</v>
      </c>
      <c r="E627" s="2" t="str">
        <f>_xlfn.XLOOKUP(Cat_SKU[[#This Row],[Item]],CAT_MOD_v31[NÚMERO DE ARTÍCULO (SAP)],CAT_MOD_v31[RESUMIDO],"",0)</f>
        <v>Pulsar NS200 UG</v>
      </c>
      <c r="F627" s="2" t="str">
        <f>_xlfn.XLOOKUP(Cat_SKU[[#This Row],[Item]],CAT_MOD_v31[NÚMERO DE ARTÍCULO (SAP)],CAT_MOD_v31[COLOR],"",0)</f>
        <v>Negro</v>
      </c>
      <c r="G627" s="2">
        <f>_xlfn.XLOOKUP(Cat_SKU[[#This Row],[Item]],CAT_MOD_v31[NÚMERO DE ARTÍCULO (SAP)],CAT_MOD_v31[AÑO],"",0)</f>
        <v>2024</v>
      </c>
    </row>
    <row r="628" spans="1:7" x14ac:dyDescent="0.35">
      <c r="A628" t="s">
        <v>148</v>
      </c>
      <c r="B628" s="1">
        <v>34677271</v>
      </c>
      <c r="C628" t="s">
        <v>776</v>
      </c>
      <c r="D628" t="s">
        <v>373</v>
      </c>
      <c r="E628" s="2" t="str">
        <f>_xlfn.XLOOKUP(Cat_SKU[[#This Row],[Item]],CAT_MOD_v31[NÚMERO DE ARTÍCULO (SAP)],CAT_MOD_v31[RESUMIDO],"",0)</f>
        <v>Pulsar NS200</v>
      </c>
      <c r="F628" s="2" t="str">
        <f>_xlfn.XLOOKUP(Cat_SKU[[#This Row],[Item]],CAT_MOD_v31[NÚMERO DE ARTÍCULO (SAP)],CAT_MOD_v31[COLOR],"",0)</f>
        <v>Blanco</v>
      </c>
      <c r="G628" s="2">
        <f>_xlfn.XLOOKUP(Cat_SKU[[#This Row],[Item]],CAT_MOD_v31[NÚMERO DE ARTÍCULO (SAP)],CAT_MOD_v31[AÑO],"",0)</f>
        <v>2022</v>
      </c>
    </row>
    <row r="629" spans="1:7" x14ac:dyDescent="0.35">
      <c r="A629" t="s">
        <v>148</v>
      </c>
      <c r="B629" s="1">
        <v>40019407</v>
      </c>
      <c r="C629" t="s">
        <v>782</v>
      </c>
      <c r="D629" t="s">
        <v>377</v>
      </c>
      <c r="E629" s="2" t="str">
        <f>_xlfn.XLOOKUP(Cat_SKU[[#This Row],[Item]],CAT_MOD_v31[NÚMERO DE ARTÍCULO (SAP)],CAT_MOD_v31[RESUMIDO],"",0)</f>
        <v>Pulsar RS200</v>
      </c>
      <c r="F629" s="2" t="str">
        <f>_xlfn.XLOOKUP(Cat_SKU[[#This Row],[Item]],CAT_MOD_v31[NÚMERO DE ARTÍCULO (SAP)],CAT_MOD_v31[COLOR],"",0)</f>
        <v>Negro</v>
      </c>
      <c r="G629" s="2">
        <f>_xlfn.XLOOKUP(Cat_SKU[[#This Row],[Item]],CAT_MOD_v31[NÚMERO DE ARTÍCULO (SAP)],CAT_MOD_v31[AÑO],"",0)</f>
        <v>2022</v>
      </c>
    </row>
    <row r="630" spans="1:7" x14ac:dyDescent="0.35">
      <c r="A630" t="s">
        <v>148</v>
      </c>
      <c r="B630" s="1">
        <v>40090124</v>
      </c>
      <c r="C630" t="s">
        <v>776</v>
      </c>
      <c r="D630" t="s">
        <v>394</v>
      </c>
      <c r="E630" s="2" t="str">
        <f>_xlfn.XLOOKUP(Cat_SKU[[#This Row],[Item]],CAT_MOD_v31[NÚMERO DE ARTÍCULO (SAP)],CAT_MOD_v31[RESUMIDO],"",0)</f>
        <v>Pulsar NS200</v>
      </c>
      <c r="F630" s="2" t="str">
        <f>_xlfn.XLOOKUP(Cat_SKU[[#This Row],[Item]],CAT_MOD_v31[NÚMERO DE ARTÍCULO (SAP)],CAT_MOD_v31[COLOR],"",0)</f>
        <v>Negro</v>
      </c>
      <c r="G630" s="2">
        <f>_xlfn.XLOOKUP(Cat_SKU[[#This Row],[Item]],CAT_MOD_v31[NÚMERO DE ARTÍCULO (SAP)],CAT_MOD_v31[AÑO],"",0)</f>
        <v>2022</v>
      </c>
    </row>
    <row r="631" spans="1:7" x14ac:dyDescent="0.35">
      <c r="A631" t="s">
        <v>148</v>
      </c>
      <c r="B631" s="1">
        <v>40090553</v>
      </c>
      <c r="C631" t="s">
        <v>777</v>
      </c>
      <c r="D631" t="s">
        <v>842</v>
      </c>
      <c r="E631" s="2" t="str">
        <f>_xlfn.XLOOKUP(Cat_SKU[[#This Row],[Item]],CAT_MOD_v31[NÚMERO DE ARTÍCULO (SAP)],CAT_MOD_v31[RESUMIDO],"",0)</f>
        <v>Pulsar NS160</v>
      </c>
      <c r="F631" s="2" t="str">
        <f>_xlfn.XLOOKUP(Cat_SKU[[#This Row],[Item]],CAT_MOD_v31[NÚMERO DE ARTÍCULO (SAP)],CAT_MOD_v31[COLOR],"",0)</f>
        <v>Negro</v>
      </c>
      <c r="G631" s="2">
        <f>_xlfn.XLOOKUP(Cat_SKU[[#This Row],[Item]],CAT_MOD_v31[NÚMERO DE ARTÍCULO (SAP)],CAT_MOD_v31[AÑO],"",0)</f>
        <v>2022</v>
      </c>
    </row>
    <row r="632" spans="1:7" x14ac:dyDescent="0.35">
      <c r="A632" t="s">
        <v>148</v>
      </c>
      <c r="B632" s="1">
        <v>40205072</v>
      </c>
      <c r="C632" t="s">
        <v>781</v>
      </c>
      <c r="D632" t="s">
        <v>875</v>
      </c>
      <c r="E632" s="2" t="str">
        <f>_xlfn.XLOOKUP(Cat_SKU[[#This Row],[Item]],CAT_MOD_v31[NÚMERO DE ARTÍCULO (SAP)],CAT_MOD_v31[RESUMIDO],"",0)</f>
        <v>Boxer BM150</v>
      </c>
      <c r="F632" s="2" t="str">
        <f>_xlfn.XLOOKUP(Cat_SKU[[#This Row],[Item]],CAT_MOD_v31[NÚMERO DE ARTÍCULO (SAP)],CAT_MOD_v31[COLOR],"",0)</f>
        <v>Negro</v>
      </c>
      <c r="G632" s="2">
        <f>_xlfn.XLOOKUP(Cat_SKU[[#This Row],[Item]],CAT_MOD_v31[NÚMERO DE ARTÍCULO (SAP)],CAT_MOD_v31[AÑO],"",0)</f>
        <v>2022</v>
      </c>
    </row>
    <row r="633" spans="1:7" x14ac:dyDescent="0.35">
      <c r="A633" t="s">
        <v>148</v>
      </c>
      <c r="B633" s="1">
        <v>46412999</v>
      </c>
      <c r="C633" t="s">
        <v>777</v>
      </c>
      <c r="D633" t="s">
        <v>374</v>
      </c>
      <c r="E633" s="2" t="str">
        <f>_xlfn.XLOOKUP(Cat_SKU[[#This Row],[Item]],CAT_MOD_v31[NÚMERO DE ARTÍCULO (SAP)],CAT_MOD_v31[RESUMIDO],"",0)</f>
        <v>Pulsar NS160</v>
      </c>
      <c r="F633" s="2" t="str">
        <f>_xlfn.XLOOKUP(Cat_SKU[[#This Row],[Item]],CAT_MOD_v31[NÚMERO DE ARTÍCULO (SAP)],CAT_MOD_v31[COLOR],"",0)</f>
        <v>Azul</v>
      </c>
      <c r="G633" s="2">
        <f>_xlfn.XLOOKUP(Cat_SKU[[#This Row],[Item]],CAT_MOD_v31[NÚMERO DE ARTÍCULO (SAP)],CAT_MOD_v31[AÑO],"",0)</f>
        <v>2022</v>
      </c>
    </row>
    <row r="634" spans="1:7" x14ac:dyDescent="0.35">
      <c r="A634" t="s">
        <v>148</v>
      </c>
      <c r="B634" s="1">
        <v>46413023</v>
      </c>
      <c r="C634" t="s">
        <v>777</v>
      </c>
      <c r="D634" t="s">
        <v>411</v>
      </c>
      <c r="E634" s="2" t="str">
        <f>_xlfn.XLOOKUP(Cat_SKU[[#This Row],[Item]],CAT_MOD_v31[NÚMERO DE ARTÍCULO (SAP)],CAT_MOD_v31[RESUMIDO],"",0)</f>
        <v>Pulsar NS160</v>
      </c>
      <c r="F634" s="2" t="str">
        <f>_xlfn.XLOOKUP(Cat_SKU[[#This Row],[Item]],CAT_MOD_v31[NÚMERO DE ARTÍCULO (SAP)],CAT_MOD_v31[COLOR],"",0)</f>
        <v>Perla</v>
      </c>
      <c r="G634" s="2">
        <f>_xlfn.XLOOKUP(Cat_SKU[[#This Row],[Item]],CAT_MOD_v31[NÚMERO DE ARTÍCULO (SAP)],CAT_MOD_v31[AÑO],"",0)</f>
        <v>2022</v>
      </c>
    </row>
    <row r="635" spans="1:7" x14ac:dyDescent="0.35">
      <c r="A635" t="s">
        <v>148</v>
      </c>
      <c r="B635" s="1">
        <v>46413041</v>
      </c>
      <c r="C635" t="s">
        <v>776</v>
      </c>
      <c r="D635" t="s">
        <v>882</v>
      </c>
      <c r="E635" s="2" t="str">
        <f>_xlfn.XLOOKUP(Cat_SKU[[#This Row],[Item]],CAT_MOD_v31[NÚMERO DE ARTÍCULO (SAP)],CAT_MOD_v31[RESUMIDO],"",0)</f>
        <v>Pulsar 200 FI</v>
      </c>
      <c r="F635" s="2" t="str">
        <f>_xlfn.XLOOKUP(Cat_SKU[[#This Row],[Item]],CAT_MOD_v31[NÚMERO DE ARTÍCULO (SAP)],CAT_MOD_v31[COLOR],"",0)</f>
        <v>Azul</v>
      </c>
      <c r="G635" s="2">
        <f>_xlfn.XLOOKUP(Cat_SKU[[#This Row],[Item]],CAT_MOD_v31[NÚMERO DE ARTÍCULO (SAP)],CAT_MOD_v31[AÑO],"",0)</f>
        <v>2022</v>
      </c>
    </row>
    <row r="636" spans="1:7" x14ac:dyDescent="0.35">
      <c r="A636" t="s">
        <v>148</v>
      </c>
      <c r="B636" s="1">
        <v>47742541</v>
      </c>
      <c r="C636" t="s">
        <v>776</v>
      </c>
      <c r="D636" t="s">
        <v>883</v>
      </c>
      <c r="E636" s="2" t="str">
        <f>_xlfn.XLOOKUP(Cat_SKU[[#This Row],[Item]],CAT_MOD_v31[NÚMERO DE ARTÍCULO (SAP)],CAT_MOD_v31[RESUMIDO],"",0)</f>
        <v>Pulsar 200 FI</v>
      </c>
      <c r="F636" s="2" t="str">
        <f>_xlfn.XLOOKUP(Cat_SKU[[#This Row],[Item]],CAT_MOD_v31[NÚMERO DE ARTÍCULO (SAP)],CAT_MOD_v31[COLOR],"",0)</f>
        <v>Negro</v>
      </c>
      <c r="G636" s="2">
        <f>_xlfn.XLOOKUP(Cat_SKU[[#This Row],[Item]],CAT_MOD_v31[NÚMERO DE ARTÍCULO (SAP)],CAT_MOD_v31[AÑO],"",0)</f>
        <v>2022</v>
      </c>
    </row>
    <row r="637" spans="1:7" x14ac:dyDescent="0.35">
      <c r="A637" t="s">
        <v>148</v>
      </c>
      <c r="B637" s="1">
        <v>50437544</v>
      </c>
      <c r="D637" t="s">
        <v>321</v>
      </c>
      <c r="E637" s="2" t="str">
        <f>_xlfn.XLOOKUP(Cat_SKU[[#This Row],[Item]],CAT_MOD_v31[NÚMERO DE ARTÍCULO (SAP)],CAT_MOD_v31[RESUMIDO],"",0)</f>
        <v>Dominar 250</v>
      </c>
      <c r="F637" s="2" t="str">
        <f>_xlfn.XLOOKUP(Cat_SKU[[#This Row],[Item]],CAT_MOD_v31[NÚMERO DE ARTÍCULO (SAP)],CAT_MOD_v31[COLOR],"",0)</f>
        <v>Rojo</v>
      </c>
      <c r="G637" s="2">
        <f>_xlfn.XLOOKUP(Cat_SKU[[#This Row],[Item]],CAT_MOD_v31[NÚMERO DE ARTÍCULO (SAP)],CAT_MOD_v31[AÑO],"",0)</f>
        <v>2022</v>
      </c>
    </row>
    <row r="638" spans="1:7" x14ac:dyDescent="0.35">
      <c r="A638" t="s">
        <v>148</v>
      </c>
      <c r="B638" s="1">
        <v>50626116</v>
      </c>
      <c r="C638" t="s">
        <v>776</v>
      </c>
      <c r="D638" t="s">
        <v>810</v>
      </c>
      <c r="E638" s="2" t="str">
        <f>_xlfn.XLOOKUP(Cat_SKU[[#This Row],[Item]],CAT_MOD_v31[NÚMERO DE ARTÍCULO (SAP)],CAT_MOD_v31[RESUMIDO],"",0)</f>
        <v>Pulsar NS200</v>
      </c>
      <c r="F638" s="2" t="str">
        <f>_xlfn.XLOOKUP(Cat_SKU[[#This Row],[Item]],CAT_MOD_v31[NÚMERO DE ARTÍCULO (SAP)],CAT_MOD_v31[COLOR],"",0)</f>
        <v>Perla</v>
      </c>
      <c r="G638" s="2">
        <f>_xlfn.XLOOKUP(Cat_SKU[[#This Row],[Item]],CAT_MOD_v31[NÚMERO DE ARTÍCULO (SAP)],CAT_MOD_v31[AÑO],"",0)</f>
        <v>2022</v>
      </c>
    </row>
    <row r="639" spans="1:7" x14ac:dyDescent="0.35">
      <c r="A639" t="s">
        <v>148</v>
      </c>
      <c r="B639" s="1">
        <v>60623538</v>
      </c>
      <c r="D639" t="s">
        <v>290</v>
      </c>
      <c r="E639" s="2" t="str">
        <f>_xlfn.XLOOKUP(Cat_SKU[[#This Row],[Item]],CAT_MOD_v31[NÚMERO DE ARTÍCULO (SAP)],CAT_MOD_v31[RESUMIDO],"",0)</f>
        <v>Pulsar NS125 UG</v>
      </c>
      <c r="F639" s="2" t="str">
        <f>_xlfn.XLOOKUP(Cat_SKU[[#This Row],[Item]],CAT_MOD_v31[NÚMERO DE ARTÍCULO (SAP)],CAT_MOD_v31[COLOR],"",0)</f>
        <v>Naranja</v>
      </c>
      <c r="G639" s="2">
        <f>_xlfn.XLOOKUP(Cat_SKU[[#This Row],[Item]],CAT_MOD_v31[NÚMERO DE ARTÍCULO (SAP)],CAT_MOD_v31[AÑO],"",0)</f>
        <v>2024</v>
      </c>
    </row>
    <row r="640" spans="1:7" x14ac:dyDescent="0.35">
      <c r="A640" t="s">
        <v>148</v>
      </c>
      <c r="B640" s="1">
        <v>60623627</v>
      </c>
      <c r="D640" t="s">
        <v>289</v>
      </c>
      <c r="E640" s="2" t="str">
        <f>_xlfn.XLOOKUP(Cat_SKU[[#This Row],[Item]],CAT_MOD_v31[NÚMERO DE ARTÍCULO (SAP)],CAT_MOD_v31[RESUMIDO],"",0)</f>
        <v>Pulsar NS125 UG</v>
      </c>
      <c r="F640" s="2" t="str">
        <f>_xlfn.XLOOKUP(Cat_SKU[[#This Row],[Item]],CAT_MOD_v31[NÚMERO DE ARTÍCULO (SAP)],CAT_MOD_v31[COLOR],"",0)</f>
        <v>Gris</v>
      </c>
      <c r="G640" s="2">
        <f>_xlfn.XLOOKUP(Cat_SKU[[#This Row],[Item]],CAT_MOD_v31[NÚMERO DE ARTÍCULO (SAP)],CAT_MOD_v31[AÑO],"",0)</f>
        <v>2024</v>
      </c>
    </row>
    <row r="641" spans="1:7" x14ac:dyDescent="0.35">
      <c r="A641" t="s">
        <v>148</v>
      </c>
      <c r="B641" s="1">
        <v>60643632</v>
      </c>
      <c r="C641" t="s">
        <v>776</v>
      </c>
      <c r="D641" t="s">
        <v>845</v>
      </c>
      <c r="E641" s="2" t="str">
        <f>_xlfn.XLOOKUP(Cat_SKU[[#This Row],[Item]],CAT_MOD_v31[NÚMERO DE ARTÍCULO (SAP)],CAT_MOD_v31[RESUMIDO],"",0)</f>
        <v>Pulsar 200 FI</v>
      </c>
      <c r="F641" s="2" t="str">
        <f>_xlfn.XLOOKUP(Cat_SKU[[#This Row],[Item]],CAT_MOD_v31[NÚMERO DE ARTÍCULO (SAP)],CAT_MOD_v31[COLOR],"",0)</f>
        <v>Negro</v>
      </c>
      <c r="G641" s="2">
        <f>_xlfn.XLOOKUP(Cat_SKU[[#This Row],[Item]],CAT_MOD_v31[NÚMERO DE ARTÍCULO (SAP)],CAT_MOD_v31[AÑO],"",0)</f>
        <v>2023</v>
      </c>
    </row>
    <row r="642" spans="1:7" x14ac:dyDescent="0.35">
      <c r="A642" t="s">
        <v>148</v>
      </c>
      <c r="B642" s="1">
        <v>60645309</v>
      </c>
      <c r="D642" t="s">
        <v>368</v>
      </c>
      <c r="E642" s="2" t="str">
        <f>_xlfn.XLOOKUP(Cat_SKU[[#This Row],[Item]],CAT_MOD_v31[NÚMERO DE ARTÍCULO (SAP)],CAT_MOD_v31[RESUMIDO],"",0)</f>
        <v>Avenger Cruise 220</v>
      </c>
      <c r="F642" s="2" t="str">
        <f>_xlfn.XLOOKUP(Cat_SKU[[#This Row],[Item]],CAT_MOD_v31[NÚMERO DE ARTÍCULO (SAP)],CAT_MOD_v31[COLOR],"",0)</f>
        <v>Negro</v>
      </c>
      <c r="G642" s="2">
        <f>_xlfn.XLOOKUP(Cat_SKU[[#This Row],[Item]],CAT_MOD_v31[NÚMERO DE ARTÍCULO (SAP)],CAT_MOD_v31[AÑO],"",0)</f>
        <v>2023</v>
      </c>
    </row>
    <row r="643" spans="1:7" x14ac:dyDescent="0.35">
      <c r="A643" t="s">
        <v>148</v>
      </c>
      <c r="B643" s="1">
        <v>60645578</v>
      </c>
      <c r="D643" t="s">
        <v>330</v>
      </c>
      <c r="E643" s="2" t="str">
        <f>_xlfn.XLOOKUP(Cat_SKU[[#This Row],[Item]],CAT_MOD_v31[NÚMERO DE ARTÍCULO (SAP)],CAT_MOD_v31[RESUMIDO],"",0)</f>
        <v>Dominar 400</v>
      </c>
      <c r="F643" s="2" t="str">
        <f>_xlfn.XLOOKUP(Cat_SKU[[#This Row],[Item]],CAT_MOD_v31[NÚMERO DE ARTÍCULO (SAP)],CAT_MOD_v31[COLOR],"",0)</f>
        <v>Negro</v>
      </c>
      <c r="G643" s="2">
        <f>_xlfn.XLOOKUP(Cat_SKU[[#This Row],[Item]],CAT_MOD_v31[NÚMERO DE ARTÍCULO (SAP)],CAT_MOD_v31[AÑO],"",0)</f>
        <v>2023</v>
      </c>
    </row>
    <row r="644" spans="1:7" x14ac:dyDescent="0.35">
      <c r="A644" t="s">
        <v>148</v>
      </c>
      <c r="B644" s="1">
        <v>60645916</v>
      </c>
      <c r="D644" t="s">
        <v>338</v>
      </c>
      <c r="E644" s="2" t="str">
        <f>_xlfn.XLOOKUP(Cat_SKU[[#This Row],[Item]],CAT_MOD_v31[NÚMERO DE ARTÍCULO (SAP)],CAT_MOD_v31[RESUMIDO],"",0)</f>
        <v>Pulsar LS125</v>
      </c>
      <c r="F644" s="2" t="str">
        <f>_xlfn.XLOOKUP(Cat_SKU[[#This Row],[Item]],CAT_MOD_v31[NÚMERO DE ARTÍCULO (SAP)],CAT_MOD_v31[COLOR],"",0)</f>
        <v>Amarillo</v>
      </c>
      <c r="G644" s="2">
        <f>_xlfn.XLOOKUP(Cat_SKU[[#This Row],[Item]],CAT_MOD_v31[NÚMERO DE ARTÍCULO (SAP)],CAT_MOD_v31[AÑO],"",0)</f>
        <v>2023</v>
      </c>
    </row>
    <row r="645" spans="1:7" x14ac:dyDescent="0.35">
      <c r="A645" t="s">
        <v>148</v>
      </c>
      <c r="B645" s="1">
        <v>60963242</v>
      </c>
      <c r="C645" t="s">
        <v>781</v>
      </c>
      <c r="D645" t="s">
        <v>328</v>
      </c>
      <c r="E645" s="2" t="str">
        <f>_xlfn.XLOOKUP(Cat_SKU[[#This Row],[Item]],CAT_MOD_v31[NÚMERO DE ARTÍCULO (SAP)],CAT_MOD_v31[RESUMIDO],"",0)</f>
        <v>Boxer BM150</v>
      </c>
      <c r="F645" s="2" t="str">
        <f>_xlfn.XLOOKUP(Cat_SKU[[#This Row],[Item]],CAT_MOD_v31[NÚMERO DE ARTÍCULO (SAP)],CAT_MOD_v31[COLOR],"",0)</f>
        <v>Blanco</v>
      </c>
      <c r="G645" s="2">
        <f>_xlfn.XLOOKUP(Cat_SKU[[#This Row],[Item]],CAT_MOD_v31[NÚMERO DE ARTÍCULO (SAP)],CAT_MOD_v31[AÑO],"",0)</f>
        <v>2023</v>
      </c>
    </row>
    <row r="646" spans="1:7" x14ac:dyDescent="0.35">
      <c r="A646" t="s">
        <v>148</v>
      </c>
      <c r="B646" s="1">
        <v>60963395</v>
      </c>
      <c r="C646" t="s">
        <v>781</v>
      </c>
      <c r="D646" t="s">
        <v>327</v>
      </c>
      <c r="E646" s="2" t="str">
        <f>_xlfn.XLOOKUP(Cat_SKU[[#This Row],[Item]],CAT_MOD_v31[NÚMERO DE ARTÍCULO (SAP)],CAT_MOD_v31[RESUMIDO],"",0)</f>
        <v>Boxer BM150</v>
      </c>
      <c r="F646" s="2" t="str">
        <f>_xlfn.XLOOKUP(Cat_SKU[[#This Row],[Item]],CAT_MOD_v31[NÚMERO DE ARTÍCULO (SAP)],CAT_MOD_v31[COLOR],"",0)</f>
        <v>Negro</v>
      </c>
      <c r="G646" s="2">
        <f>_xlfn.XLOOKUP(Cat_SKU[[#This Row],[Item]],CAT_MOD_v31[NÚMERO DE ARTÍCULO (SAP)],CAT_MOD_v31[AÑO],"",0)</f>
        <v>2023</v>
      </c>
    </row>
    <row r="647" spans="1:7" x14ac:dyDescent="0.35">
      <c r="A647" t="s">
        <v>148</v>
      </c>
      <c r="B647" s="1">
        <v>60963564</v>
      </c>
      <c r="C647" t="s">
        <v>777</v>
      </c>
      <c r="D647" t="s">
        <v>379</v>
      </c>
      <c r="E647" s="2" t="str">
        <f>_xlfn.XLOOKUP(Cat_SKU[[#This Row],[Item]],CAT_MOD_v31[NÚMERO DE ARTÍCULO (SAP)],CAT_MOD_v31[RESUMIDO],"",0)</f>
        <v>Pulsar NS160</v>
      </c>
      <c r="F647" s="2" t="str">
        <f>_xlfn.XLOOKUP(Cat_SKU[[#This Row],[Item]],CAT_MOD_v31[NÚMERO DE ARTÍCULO (SAP)],CAT_MOD_v31[COLOR],"",0)</f>
        <v>Perla</v>
      </c>
      <c r="G647" s="2">
        <f>_xlfn.XLOOKUP(Cat_SKU[[#This Row],[Item]],CAT_MOD_v31[NÚMERO DE ARTÍCULO (SAP)],CAT_MOD_v31[AÑO],"",0)</f>
        <v>2023</v>
      </c>
    </row>
    <row r="648" spans="1:7" x14ac:dyDescent="0.35">
      <c r="A648" t="s">
        <v>148</v>
      </c>
      <c r="B648" s="1">
        <v>60963733</v>
      </c>
      <c r="D648" t="s">
        <v>366</v>
      </c>
      <c r="E648" s="2" t="str">
        <f>_xlfn.XLOOKUP(Cat_SKU[[#This Row],[Item]],CAT_MOD_v31[NÚMERO DE ARTÍCULO (SAP)],CAT_MOD_v31[RESUMIDO],"",0)</f>
        <v>Pulsar NS160</v>
      </c>
      <c r="F648" s="2" t="str">
        <f>_xlfn.XLOOKUP(Cat_SKU[[#This Row],[Item]],CAT_MOD_v31[NÚMERO DE ARTÍCULO (SAP)],CAT_MOD_v31[COLOR],"",0)</f>
        <v>Negro</v>
      </c>
      <c r="G648" s="2">
        <f>_xlfn.XLOOKUP(Cat_SKU[[#This Row],[Item]],CAT_MOD_v31[NÚMERO DE ARTÍCULO (SAP)],CAT_MOD_v31[AÑO],"",0)</f>
        <v>2023</v>
      </c>
    </row>
    <row r="649" spans="1:7" x14ac:dyDescent="0.35">
      <c r="A649" t="s">
        <v>148</v>
      </c>
      <c r="B649" s="1">
        <v>60963911</v>
      </c>
      <c r="C649" t="s">
        <v>777</v>
      </c>
      <c r="D649" t="s">
        <v>315</v>
      </c>
      <c r="E649" s="2" t="str">
        <f>_xlfn.XLOOKUP(Cat_SKU[[#This Row],[Item]],CAT_MOD_v31[NÚMERO DE ARTÍCULO (SAP)],CAT_MOD_v31[RESUMIDO],"",0)</f>
        <v>Pulsar NS160</v>
      </c>
      <c r="F649" s="2" t="str">
        <f>_xlfn.XLOOKUP(Cat_SKU[[#This Row],[Item]],CAT_MOD_v31[NÚMERO DE ARTÍCULO (SAP)],CAT_MOD_v31[COLOR],"",0)</f>
        <v>Negro</v>
      </c>
      <c r="G649" s="2">
        <f>_xlfn.XLOOKUP(Cat_SKU[[#This Row],[Item]],CAT_MOD_v31[NÚMERO DE ARTÍCULO (SAP)],CAT_MOD_v31[AÑO],"",0)</f>
        <v>2023</v>
      </c>
    </row>
    <row r="650" spans="1:7" x14ac:dyDescent="0.35">
      <c r="A650" t="s">
        <v>148</v>
      </c>
      <c r="B650" s="1">
        <v>60964189</v>
      </c>
      <c r="C650" t="s">
        <v>776</v>
      </c>
      <c r="D650" t="s">
        <v>375</v>
      </c>
      <c r="E650" s="2" t="str">
        <f>_xlfn.XLOOKUP(Cat_SKU[[#This Row],[Item]],CAT_MOD_v31[NÚMERO DE ARTÍCULO (SAP)],CAT_MOD_v31[RESUMIDO],"",0)</f>
        <v>Pulsar NS200</v>
      </c>
      <c r="F650" s="2" t="str">
        <f>_xlfn.XLOOKUP(Cat_SKU[[#This Row],[Item]],CAT_MOD_v31[NÚMERO DE ARTÍCULO (SAP)],CAT_MOD_v31[COLOR],"",0)</f>
        <v>Perla</v>
      </c>
      <c r="G650" s="2">
        <f>_xlfn.XLOOKUP(Cat_SKU[[#This Row],[Item]],CAT_MOD_v31[NÚMERO DE ARTÍCULO (SAP)],CAT_MOD_v31[AÑO],"",0)</f>
        <v>2023</v>
      </c>
    </row>
    <row r="651" spans="1:7" x14ac:dyDescent="0.35">
      <c r="A651" t="s">
        <v>148</v>
      </c>
      <c r="B651" s="1">
        <v>60964410</v>
      </c>
      <c r="D651" t="s">
        <v>365</v>
      </c>
      <c r="E651" s="2" t="str">
        <f>_xlfn.XLOOKUP(Cat_SKU[[#This Row],[Item]],CAT_MOD_v31[NÚMERO DE ARTÍCULO (SAP)],CAT_MOD_v31[RESUMIDO],"",0)</f>
        <v>Pulsar NS200</v>
      </c>
      <c r="F651" s="2" t="str">
        <f>_xlfn.XLOOKUP(Cat_SKU[[#This Row],[Item]],CAT_MOD_v31[NÚMERO DE ARTÍCULO (SAP)],CAT_MOD_v31[COLOR],"",0)</f>
        <v>Negro</v>
      </c>
      <c r="G651" s="2">
        <f>_xlfn.XLOOKUP(Cat_SKU[[#This Row],[Item]],CAT_MOD_v31[NÚMERO DE ARTÍCULO (SAP)],CAT_MOD_v31[AÑO],"",0)</f>
        <v>2023</v>
      </c>
    </row>
    <row r="652" spans="1:7" x14ac:dyDescent="0.35">
      <c r="A652" t="s">
        <v>148</v>
      </c>
      <c r="B652" s="1">
        <v>60964625</v>
      </c>
      <c r="C652" t="s">
        <v>776</v>
      </c>
      <c r="D652" t="s">
        <v>371</v>
      </c>
      <c r="E652" s="2" t="str">
        <f>_xlfn.XLOOKUP(Cat_SKU[[#This Row],[Item]],CAT_MOD_v31[NÚMERO DE ARTÍCULO (SAP)],CAT_MOD_v31[RESUMIDO],"",0)</f>
        <v>Pulsar NS200</v>
      </c>
      <c r="F652" s="2" t="str">
        <f>_xlfn.XLOOKUP(Cat_SKU[[#This Row],[Item]],CAT_MOD_v31[NÚMERO DE ARTÍCULO (SAP)],CAT_MOD_v31[COLOR],"",0)</f>
        <v>Negro</v>
      </c>
      <c r="G652" s="2">
        <f>_xlfn.XLOOKUP(Cat_SKU[[#This Row],[Item]],CAT_MOD_v31[NÚMERO DE ARTÍCULO (SAP)],CAT_MOD_v31[AÑO],"",0)</f>
        <v>2023</v>
      </c>
    </row>
    <row r="653" spans="1:7" x14ac:dyDescent="0.35">
      <c r="A653" t="s">
        <v>148</v>
      </c>
      <c r="B653" s="1">
        <v>61248899</v>
      </c>
      <c r="C653" t="s">
        <v>782</v>
      </c>
      <c r="D653" t="s">
        <v>372</v>
      </c>
      <c r="E653" s="2" t="str">
        <f>_xlfn.XLOOKUP(Cat_SKU[[#This Row],[Item]],CAT_MOD_v31[NÚMERO DE ARTÍCULO (SAP)],CAT_MOD_v31[RESUMIDO],"",0)</f>
        <v>Pulsar RS200</v>
      </c>
      <c r="F653" s="2" t="str">
        <f>_xlfn.XLOOKUP(Cat_SKU[[#This Row],[Item]],CAT_MOD_v31[NÚMERO DE ARTÍCULO (SAP)],CAT_MOD_v31[COLOR],"",0)</f>
        <v>Negro</v>
      </c>
      <c r="G653" s="2">
        <f>_xlfn.XLOOKUP(Cat_SKU[[#This Row],[Item]],CAT_MOD_v31[NÚMERO DE ARTÍCULO (SAP)],CAT_MOD_v31[AÑO],"",0)</f>
        <v>2023</v>
      </c>
    </row>
    <row r="654" spans="1:7" x14ac:dyDescent="0.35">
      <c r="A654" t="s">
        <v>148</v>
      </c>
      <c r="B654" s="1">
        <v>61249156</v>
      </c>
      <c r="C654" t="s">
        <v>782</v>
      </c>
      <c r="D654" t="s">
        <v>340</v>
      </c>
      <c r="E654" s="2" t="str">
        <f>_xlfn.XLOOKUP(Cat_SKU[[#This Row],[Item]],CAT_MOD_v31[NÚMERO DE ARTÍCULO (SAP)],CAT_MOD_v31[RESUMIDO],"",0)</f>
        <v>Pulsar RS200</v>
      </c>
      <c r="F654" s="2" t="str">
        <f>_xlfn.XLOOKUP(Cat_SKU[[#This Row],[Item]],CAT_MOD_v31[NÚMERO DE ARTÍCULO (SAP)],CAT_MOD_v31[COLOR],"",0)</f>
        <v>Perla</v>
      </c>
      <c r="G654" s="2">
        <f>_xlfn.XLOOKUP(Cat_SKU[[#This Row],[Item]],CAT_MOD_v31[NÚMERO DE ARTÍCULO (SAP)],CAT_MOD_v31[AÑO],"",0)</f>
        <v>2023</v>
      </c>
    </row>
    <row r="655" spans="1:7" x14ac:dyDescent="0.35">
      <c r="A655" t="s">
        <v>148</v>
      </c>
      <c r="B655" s="1">
        <v>61249281</v>
      </c>
      <c r="C655" t="s">
        <v>784</v>
      </c>
      <c r="D655" t="s">
        <v>376</v>
      </c>
      <c r="E655" s="2" t="str">
        <f>_xlfn.XLOOKUP(Cat_SKU[[#This Row],[Item]],CAT_MOD_v31[NÚMERO DE ARTÍCULO (SAP)],CAT_MOD_v31[RESUMIDO],"",0)</f>
        <v>Dominar 250</v>
      </c>
      <c r="F655" s="2" t="str">
        <f>_xlfn.XLOOKUP(Cat_SKU[[#This Row],[Item]],CAT_MOD_v31[NÚMERO DE ARTÍCULO (SAP)],CAT_MOD_v31[COLOR],"",0)</f>
        <v>Rojo</v>
      </c>
      <c r="G655" s="2">
        <f>_xlfn.XLOOKUP(Cat_SKU[[#This Row],[Item]],CAT_MOD_v31[NÚMERO DE ARTÍCULO (SAP)],CAT_MOD_v31[AÑO],"",0)</f>
        <v>2023</v>
      </c>
    </row>
    <row r="656" spans="1:7" x14ac:dyDescent="0.35">
      <c r="A656" t="s">
        <v>148</v>
      </c>
      <c r="B656" s="1">
        <v>61249423</v>
      </c>
      <c r="D656" t="s">
        <v>329</v>
      </c>
      <c r="E656" s="2" t="str">
        <f>_xlfn.XLOOKUP(Cat_SKU[[#This Row],[Item]],CAT_MOD_v31[NÚMERO DE ARTÍCULO (SAP)],CAT_MOD_v31[RESUMIDO],"",0)</f>
        <v>Dominar 250</v>
      </c>
      <c r="F656" s="2" t="str">
        <f>_xlfn.XLOOKUP(Cat_SKU[[#This Row],[Item]],CAT_MOD_v31[NÚMERO DE ARTÍCULO (SAP)],CAT_MOD_v31[COLOR],"",0)</f>
        <v>Negro</v>
      </c>
      <c r="G656" s="2">
        <f>_xlfn.XLOOKUP(Cat_SKU[[#This Row],[Item]],CAT_MOD_v31[NÚMERO DE ARTÍCULO (SAP)],CAT_MOD_v31[AÑO],"",0)</f>
        <v>2023</v>
      </c>
    </row>
    <row r="657" spans="1:7" x14ac:dyDescent="0.35">
      <c r="A657" t="s">
        <v>148</v>
      </c>
      <c r="B657" s="1">
        <v>62028848</v>
      </c>
      <c r="D657" t="s">
        <v>331</v>
      </c>
      <c r="E657" s="2" t="str">
        <f>_xlfn.XLOOKUP(Cat_SKU[[#This Row],[Item]],CAT_MOD_v31[NÚMERO DE ARTÍCULO (SAP)],CAT_MOD_v31[RESUMIDO],"",0)</f>
        <v>Dominar 400</v>
      </c>
      <c r="F657" s="2" t="str">
        <f>_xlfn.XLOOKUP(Cat_SKU[[#This Row],[Item]],CAT_MOD_v31[NÚMERO DE ARTÍCULO (SAP)],CAT_MOD_v31[COLOR],"",0)</f>
        <v>Verde</v>
      </c>
      <c r="G657" s="2">
        <f>_xlfn.XLOOKUP(Cat_SKU[[#This Row],[Item]],CAT_MOD_v31[NÚMERO DE ARTÍCULO (SAP)],CAT_MOD_v31[AÑO],"",0)</f>
        <v>2023</v>
      </c>
    </row>
    <row r="658" spans="1:7" x14ac:dyDescent="0.35">
      <c r="A658" t="s">
        <v>148</v>
      </c>
      <c r="B658" s="1">
        <v>65584634</v>
      </c>
      <c r="C658" t="s">
        <v>776</v>
      </c>
      <c r="D658" t="s">
        <v>339</v>
      </c>
      <c r="E658" s="2" t="str">
        <f>_xlfn.XLOOKUP(Cat_SKU[[#This Row],[Item]],CAT_MOD_v31[NÚMERO DE ARTÍCULO (SAP)],CAT_MOD_v31[RESUMIDO],"",0)</f>
        <v>Pulsar 200 FI</v>
      </c>
      <c r="F658" s="2" t="str">
        <f>_xlfn.XLOOKUP(Cat_SKU[[#This Row],[Item]],CAT_MOD_v31[NÚMERO DE ARTÍCULO (SAP)],CAT_MOD_v31[COLOR],"",0)</f>
        <v>Rojo</v>
      </c>
      <c r="G658" s="2">
        <f>_xlfn.XLOOKUP(Cat_SKU[[#This Row],[Item]],CAT_MOD_v31[NÚMERO DE ARTÍCULO (SAP)],CAT_MOD_v31[AÑO],"",0)</f>
        <v>2023</v>
      </c>
    </row>
    <row r="659" spans="1:7" x14ac:dyDescent="0.35">
      <c r="A659" t="s">
        <v>148</v>
      </c>
      <c r="B659" s="1">
        <v>65653434</v>
      </c>
      <c r="D659" t="s">
        <v>337</v>
      </c>
      <c r="E659" s="2" t="str">
        <f>_xlfn.XLOOKUP(Cat_SKU[[#This Row],[Item]],CAT_MOD_v31[NÚMERO DE ARTÍCULO (SAP)],CAT_MOD_v31[RESUMIDO],"",0)</f>
        <v>Pulsar N250 FI ABS</v>
      </c>
      <c r="F659" s="2" t="str">
        <f>_xlfn.XLOOKUP(Cat_SKU[[#This Row],[Item]],CAT_MOD_v31[NÚMERO DE ARTÍCULO (SAP)],CAT_MOD_v31[COLOR],"",0)</f>
        <v>Negro</v>
      </c>
      <c r="G659" s="2">
        <f>_xlfn.XLOOKUP(Cat_SKU[[#This Row],[Item]],CAT_MOD_v31[NÚMERO DE ARTÍCULO (SAP)],CAT_MOD_v31[AÑO],"",0)</f>
        <v>2023</v>
      </c>
    </row>
    <row r="660" spans="1:7" x14ac:dyDescent="0.35">
      <c r="A660" t="s">
        <v>148</v>
      </c>
      <c r="B660" s="1">
        <v>78339689</v>
      </c>
      <c r="D660" t="s">
        <v>316</v>
      </c>
      <c r="E660" s="2" t="str">
        <f>_xlfn.XLOOKUP(Cat_SKU[[#This Row],[Item]],CAT_MOD_v31[NÚMERO DE ARTÍCULO (SAP)],CAT_MOD_v31[RESUMIDO],"",0)</f>
        <v>Pulsar LS125</v>
      </c>
      <c r="F660" s="2" t="str">
        <f>_xlfn.XLOOKUP(Cat_SKU[[#This Row],[Item]],CAT_MOD_v31[NÚMERO DE ARTÍCULO (SAP)],CAT_MOD_v31[COLOR],"",0)</f>
        <v>Negro</v>
      </c>
      <c r="G660" s="2">
        <f>_xlfn.XLOOKUP(Cat_SKU[[#This Row],[Item]],CAT_MOD_v31[NÚMERO DE ARTÍCULO (SAP)],CAT_MOD_v31[AÑO],"",0)</f>
        <v>2023</v>
      </c>
    </row>
    <row r="661" spans="1:7" x14ac:dyDescent="0.35">
      <c r="A661" t="s">
        <v>148</v>
      </c>
      <c r="B661" s="1">
        <v>88502968</v>
      </c>
      <c r="C661" t="s">
        <v>144</v>
      </c>
      <c r="D661" t="s">
        <v>255</v>
      </c>
      <c r="E661" s="2" t="str">
        <f>_xlfn.XLOOKUP(Cat_SKU[[#This Row],[Item]],CAT_MOD_v31[NÚMERO DE ARTÍCULO (SAP)],CAT_MOD_v31[RESUMIDO],"",0)</f>
        <v>Avenger Cruise 220</v>
      </c>
      <c r="F661" s="2" t="str">
        <f>_xlfn.XLOOKUP(Cat_SKU[[#This Row],[Item]],CAT_MOD_v31[NÚMERO DE ARTÍCULO (SAP)],CAT_MOD_v31[COLOR],"",0)</f>
        <v>Negro</v>
      </c>
      <c r="G661" s="2">
        <f>_xlfn.XLOOKUP(Cat_SKU[[#This Row],[Item]],CAT_MOD_v31[NÚMERO DE ARTÍCULO (SAP)],CAT_MOD_v31[AÑO],"",0)</f>
        <v>2025</v>
      </c>
    </row>
    <row r="662" spans="1:7" x14ac:dyDescent="0.35">
      <c r="A662" t="s">
        <v>148</v>
      </c>
      <c r="B662" s="1">
        <v>88502986</v>
      </c>
      <c r="C662" t="s">
        <v>142</v>
      </c>
      <c r="D662" t="s">
        <v>256</v>
      </c>
      <c r="E662" s="2" t="str">
        <f>_xlfn.XLOOKUP(Cat_SKU[[#This Row],[Item]],CAT_MOD_v31[NÚMERO DE ARTÍCULO (SAP)],CAT_MOD_v31[RESUMIDO],"",0)</f>
        <v>Boxer BM150</v>
      </c>
      <c r="F662" s="2" t="str">
        <f>_xlfn.XLOOKUP(Cat_SKU[[#This Row],[Item]],CAT_MOD_v31[NÚMERO DE ARTÍCULO (SAP)],CAT_MOD_v31[COLOR],"",0)</f>
        <v>Blanco</v>
      </c>
      <c r="G662" s="2">
        <f>_xlfn.XLOOKUP(Cat_SKU[[#This Row],[Item]],CAT_MOD_v31[NÚMERO DE ARTÍCULO (SAP)],CAT_MOD_v31[AÑO],"",0)</f>
        <v>2025</v>
      </c>
    </row>
    <row r="663" spans="1:7" x14ac:dyDescent="0.35">
      <c r="A663" t="s">
        <v>148</v>
      </c>
      <c r="B663" s="1">
        <v>88503000</v>
      </c>
      <c r="C663" t="s">
        <v>143</v>
      </c>
      <c r="D663" t="s">
        <v>257</v>
      </c>
      <c r="E663" s="2" t="str">
        <f>_xlfn.XLOOKUP(Cat_SKU[[#This Row],[Item]],CAT_MOD_v31[NÚMERO DE ARTÍCULO (SAP)],CAT_MOD_v31[RESUMIDO],"",0)</f>
        <v>Boxer BM150</v>
      </c>
      <c r="F663" s="2" t="str">
        <f>_xlfn.XLOOKUP(Cat_SKU[[#This Row],[Item]],CAT_MOD_v31[NÚMERO DE ARTÍCULO (SAP)],CAT_MOD_v31[COLOR],"",0)</f>
        <v>Negro</v>
      </c>
      <c r="G663" s="2">
        <f>_xlfn.XLOOKUP(Cat_SKU[[#This Row],[Item]],CAT_MOD_v31[NÚMERO DE ARTÍCULO (SAP)],CAT_MOD_v31[AÑO],"",0)</f>
        <v>2025</v>
      </c>
    </row>
    <row r="664" spans="1:7" x14ac:dyDescent="0.35">
      <c r="A664" t="s">
        <v>148</v>
      </c>
      <c r="B664" s="1">
        <v>88503028</v>
      </c>
      <c r="C664" t="s">
        <v>140</v>
      </c>
      <c r="D664" t="s">
        <v>259</v>
      </c>
      <c r="E664" s="2" t="str">
        <f>_xlfn.XLOOKUP(Cat_SKU[[#This Row],[Item]],CAT_MOD_v31[NÚMERO DE ARTÍCULO (SAP)],CAT_MOD_v31[RESUMIDO],"",0)</f>
        <v>Dominar 250</v>
      </c>
      <c r="F664" s="2" t="str">
        <f>_xlfn.XLOOKUP(Cat_SKU[[#This Row],[Item]],CAT_MOD_v31[NÚMERO DE ARTÍCULO (SAP)],CAT_MOD_v31[COLOR],"",0)</f>
        <v>Negro</v>
      </c>
      <c r="G664" s="2">
        <f>_xlfn.XLOOKUP(Cat_SKU[[#This Row],[Item]],CAT_MOD_v31[NÚMERO DE ARTÍCULO (SAP)],CAT_MOD_v31[AÑO],"",0)</f>
        <v>2025</v>
      </c>
    </row>
    <row r="665" spans="1:7" x14ac:dyDescent="0.35">
      <c r="A665" t="s">
        <v>148</v>
      </c>
      <c r="B665" s="1">
        <v>88503046</v>
      </c>
      <c r="C665" t="s">
        <v>141</v>
      </c>
      <c r="D665" t="s">
        <v>260</v>
      </c>
      <c r="E665" s="2" t="str">
        <f>_xlfn.XLOOKUP(Cat_SKU[[#This Row],[Item]],CAT_MOD_v31[NÚMERO DE ARTÍCULO (SAP)],CAT_MOD_v31[RESUMIDO],"",0)</f>
        <v>Dominar 250</v>
      </c>
      <c r="F665" s="2" t="str">
        <f>_xlfn.XLOOKUP(Cat_SKU[[#This Row],[Item]],CAT_MOD_v31[NÚMERO DE ARTÍCULO (SAP)],CAT_MOD_v31[COLOR],"",0)</f>
        <v>Rojo</v>
      </c>
      <c r="G665" s="2">
        <f>_xlfn.XLOOKUP(Cat_SKU[[#This Row],[Item]],CAT_MOD_v31[NÚMERO DE ARTÍCULO (SAP)],CAT_MOD_v31[AÑO],"",0)</f>
        <v>2025</v>
      </c>
    </row>
    <row r="666" spans="1:7" x14ac:dyDescent="0.35">
      <c r="A666" t="s">
        <v>148</v>
      </c>
      <c r="B666" s="1">
        <v>88503064</v>
      </c>
      <c r="C666" t="s">
        <v>137</v>
      </c>
      <c r="D666" t="s">
        <v>258</v>
      </c>
      <c r="E666" s="2" t="str">
        <f>_xlfn.XLOOKUP(Cat_SKU[[#This Row],[Item]],CAT_MOD_v31[NÚMERO DE ARTÍCULO (SAP)],CAT_MOD_v31[RESUMIDO],"",0)</f>
        <v>Dominar 400</v>
      </c>
      <c r="F666" s="2" t="str">
        <f>_xlfn.XLOOKUP(Cat_SKU[[#This Row],[Item]],CAT_MOD_v31[NÚMERO DE ARTÍCULO (SAP)],CAT_MOD_v31[COLOR],"",0)</f>
        <v>Negro</v>
      </c>
      <c r="G666" s="2">
        <f>_xlfn.XLOOKUP(Cat_SKU[[#This Row],[Item]],CAT_MOD_v31[NÚMERO DE ARTÍCULO (SAP)],CAT_MOD_v31[AÑO],"",0)</f>
        <v>2025</v>
      </c>
    </row>
    <row r="667" spans="1:7" x14ac:dyDescent="0.35">
      <c r="A667" t="s">
        <v>148</v>
      </c>
      <c r="B667" s="1">
        <v>88503082</v>
      </c>
      <c r="C667" t="s">
        <v>139</v>
      </c>
      <c r="D667" t="s">
        <v>261</v>
      </c>
      <c r="E667" s="2" t="str">
        <f>_xlfn.XLOOKUP(Cat_SKU[[#This Row],[Item]],CAT_MOD_v31[NÚMERO DE ARTÍCULO (SAP)],CAT_MOD_v31[RESUMIDO],"",0)</f>
        <v>Dominar 400</v>
      </c>
      <c r="F667" s="2" t="str">
        <f>_xlfn.XLOOKUP(Cat_SKU[[#This Row],[Item]],CAT_MOD_v31[NÚMERO DE ARTÍCULO (SAP)],CAT_MOD_v31[COLOR],"",0)</f>
        <v>Verde</v>
      </c>
      <c r="G667" s="2">
        <f>_xlfn.XLOOKUP(Cat_SKU[[#This Row],[Item]],CAT_MOD_v31[NÚMERO DE ARTÍCULO (SAP)],CAT_MOD_v31[AÑO],"",0)</f>
        <v>2025</v>
      </c>
    </row>
    <row r="668" spans="1:7" x14ac:dyDescent="0.35">
      <c r="A668" t="s">
        <v>148</v>
      </c>
      <c r="B668" s="1">
        <v>88503107</v>
      </c>
      <c r="C668" t="s">
        <v>128</v>
      </c>
      <c r="D668" t="s">
        <v>268</v>
      </c>
      <c r="E668" s="2" t="str">
        <f>_xlfn.XLOOKUP(Cat_SKU[[#This Row],[Item]],CAT_MOD_v31[NÚMERO DE ARTÍCULO (SAP)],CAT_MOD_v31[RESUMIDO],"",0)</f>
        <v>Pulsar N160 FI ABS</v>
      </c>
      <c r="F668" s="2" t="str">
        <f>_xlfn.XLOOKUP(Cat_SKU[[#This Row],[Item]],CAT_MOD_v31[NÚMERO DE ARTÍCULO (SAP)],CAT_MOD_v31[COLOR],"",0)</f>
        <v>Negro</v>
      </c>
      <c r="G668" s="2">
        <f>_xlfn.XLOOKUP(Cat_SKU[[#This Row],[Item]],CAT_MOD_v31[NÚMERO DE ARTÍCULO (SAP)],CAT_MOD_v31[AÑO],"",0)</f>
        <v>2025</v>
      </c>
    </row>
    <row r="669" spans="1:7" x14ac:dyDescent="0.35">
      <c r="A669" t="s">
        <v>148</v>
      </c>
      <c r="B669" s="1">
        <v>88503125</v>
      </c>
      <c r="C669" t="s">
        <v>124</v>
      </c>
      <c r="D669" t="s">
        <v>274</v>
      </c>
      <c r="E669" s="2" t="str">
        <f>_xlfn.XLOOKUP(Cat_SKU[[#This Row],[Item]],CAT_MOD_v31[NÚMERO DE ARTÍCULO (SAP)],CAT_MOD_v31[RESUMIDO],"",0)</f>
        <v>Pulsar N250 FI ABS</v>
      </c>
      <c r="F669" s="2" t="str">
        <f>_xlfn.XLOOKUP(Cat_SKU[[#This Row],[Item]],CAT_MOD_v31[NÚMERO DE ARTÍCULO (SAP)],CAT_MOD_v31[COLOR],"",0)</f>
        <v>Negro</v>
      </c>
      <c r="G669" s="2">
        <f>_xlfn.XLOOKUP(Cat_SKU[[#This Row],[Item]],CAT_MOD_v31[NÚMERO DE ARTÍCULO (SAP)],CAT_MOD_v31[AÑO],"",0)</f>
        <v>2025</v>
      </c>
    </row>
    <row r="670" spans="1:7" x14ac:dyDescent="0.35">
      <c r="A670" t="s">
        <v>148</v>
      </c>
      <c r="B670" s="1">
        <v>88503143</v>
      </c>
      <c r="C670" t="s">
        <v>126</v>
      </c>
      <c r="D670" t="s">
        <v>300</v>
      </c>
      <c r="E670" s="2" t="str">
        <f>_xlfn.XLOOKUP(Cat_SKU[[#This Row],[Item]],CAT_MOD_v31[NÚMERO DE ARTÍCULO (SAP)],CAT_MOD_v31[RESUMIDO],"",0)</f>
        <v>Pulsar N250 FI ABS</v>
      </c>
      <c r="F670" s="2" t="str">
        <f>_xlfn.XLOOKUP(Cat_SKU[[#This Row],[Item]],CAT_MOD_v31[NÚMERO DE ARTÍCULO (SAP)],CAT_MOD_v31[COLOR],"",0)</f>
        <v>Rojo</v>
      </c>
      <c r="G670" s="2">
        <f>_xlfn.XLOOKUP(Cat_SKU[[#This Row],[Item]],CAT_MOD_v31[NÚMERO DE ARTÍCULO (SAP)],CAT_MOD_v31[AÑO],"",0)</f>
        <v>2025</v>
      </c>
    </row>
    <row r="671" spans="1:7" x14ac:dyDescent="0.35">
      <c r="A671" t="s">
        <v>148</v>
      </c>
      <c r="B671" s="1">
        <v>88503161</v>
      </c>
      <c r="C671" t="s">
        <v>113</v>
      </c>
      <c r="D671" t="s">
        <v>265</v>
      </c>
      <c r="E671" s="2" t="str">
        <f>_xlfn.XLOOKUP(Cat_SKU[[#This Row],[Item]],CAT_MOD_v31[NÚMERO DE ARTÍCULO (SAP)],CAT_MOD_v31[RESUMIDO],"",0)</f>
        <v>Pulsar NS125 UG</v>
      </c>
      <c r="F671" s="2" t="str">
        <f>_xlfn.XLOOKUP(Cat_SKU[[#This Row],[Item]],CAT_MOD_v31[NÚMERO DE ARTÍCULO (SAP)],CAT_MOD_v31[COLOR],"",0)</f>
        <v>Gris</v>
      </c>
      <c r="G671" s="2">
        <f>_xlfn.XLOOKUP(Cat_SKU[[#This Row],[Item]],CAT_MOD_v31[NÚMERO DE ARTÍCULO (SAP)],CAT_MOD_v31[AÑO],"",0)</f>
        <v>2025</v>
      </c>
    </row>
    <row r="672" spans="1:7" x14ac:dyDescent="0.35">
      <c r="A672" t="s">
        <v>148</v>
      </c>
      <c r="B672" s="1">
        <v>88503189</v>
      </c>
      <c r="C672" t="s">
        <v>114</v>
      </c>
      <c r="D672" t="s">
        <v>269</v>
      </c>
      <c r="E672" s="2" t="str">
        <f>_xlfn.XLOOKUP(Cat_SKU[[#This Row],[Item]],CAT_MOD_v31[NÚMERO DE ARTÍCULO (SAP)],CAT_MOD_v31[RESUMIDO],"",0)</f>
        <v>Pulsar NS125 UG</v>
      </c>
      <c r="F672" s="2" t="str">
        <f>_xlfn.XLOOKUP(Cat_SKU[[#This Row],[Item]],CAT_MOD_v31[NÚMERO DE ARTÍCULO (SAP)],CAT_MOD_v31[COLOR],"",0)</f>
        <v>Naranja</v>
      </c>
      <c r="G672" s="2">
        <f>_xlfn.XLOOKUP(Cat_SKU[[#This Row],[Item]],CAT_MOD_v31[NÚMERO DE ARTÍCULO (SAP)],CAT_MOD_v31[AÑO],"",0)</f>
        <v>2025</v>
      </c>
    </row>
    <row r="673" spans="1:7" x14ac:dyDescent="0.35">
      <c r="A673" t="s">
        <v>148</v>
      </c>
      <c r="B673" s="1">
        <v>88503301</v>
      </c>
      <c r="C673" t="s">
        <v>106</v>
      </c>
      <c r="D673" t="s">
        <v>282</v>
      </c>
      <c r="E673" s="2" t="str">
        <f>_xlfn.XLOOKUP(Cat_SKU[[#This Row],[Item]],CAT_MOD_v31[NÚMERO DE ARTÍCULO (SAP)],CAT_MOD_v31[RESUMIDO],"",0)</f>
        <v>Pulsar NS160 UG</v>
      </c>
      <c r="F673" s="2" t="str">
        <f>_xlfn.XLOOKUP(Cat_SKU[[#This Row],[Item]],CAT_MOD_v31[NÚMERO DE ARTÍCULO (SAP)],CAT_MOD_v31[COLOR],"",0)</f>
        <v>Gris</v>
      </c>
      <c r="G673" s="2">
        <f>_xlfn.XLOOKUP(Cat_SKU[[#This Row],[Item]],CAT_MOD_v31[NÚMERO DE ARTÍCULO (SAP)],CAT_MOD_v31[AÑO],"",0)</f>
        <v>2025</v>
      </c>
    </row>
    <row r="674" spans="1:7" x14ac:dyDescent="0.35">
      <c r="A674" t="s">
        <v>148</v>
      </c>
      <c r="B674" s="1">
        <v>88503329</v>
      </c>
      <c r="C674" t="s">
        <v>108</v>
      </c>
      <c r="D674" t="s">
        <v>266</v>
      </c>
      <c r="E674" s="2" t="str">
        <f>_xlfn.XLOOKUP(Cat_SKU[[#This Row],[Item]],CAT_MOD_v31[NÚMERO DE ARTÍCULO (SAP)],CAT_MOD_v31[RESUMIDO],"",0)</f>
        <v>Pulsar NS160 UG</v>
      </c>
      <c r="F674" s="2" t="str">
        <f>_xlfn.XLOOKUP(Cat_SKU[[#This Row],[Item]],CAT_MOD_v31[NÚMERO DE ARTÍCULO (SAP)],CAT_MOD_v31[COLOR],"",0)</f>
        <v>Negro</v>
      </c>
      <c r="G674" s="2">
        <f>_xlfn.XLOOKUP(Cat_SKU[[#This Row],[Item]],CAT_MOD_v31[NÚMERO DE ARTÍCULO (SAP)],CAT_MOD_v31[AÑO],"",0)</f>
        <v>2025</v>
      </c>
    </row>
    <row r="675" spans="1:7" x14ac:dyDescent="0.35">
      <c r="A675" t="s">
        <v>148</v>
      </c>
      <c r="B675" s="1">
        <v>88503347</v>
      </c>
      <c r="C675" t="s">
        <v>110</v>
      </c>
      <c r="D675" t="s">
        <v>267</v>
      </c>
      <c r="E675" s="2" t="str">
        <f>_xlfn.XLOOKUP(Cat_SKU[[#This Row],[Item]],CAT_MOD_v31[NÚMERO DE ARTÍCULO (SAP)],CAT_MOD_v31[RESUMIDO],"",0)</f>
        <v>Pulsar NS160 UG</v>
      </c>
      <c r="F675" s="2" t="str">
        <f>_xlfn.XLOOKUP(Cat_SKU[[#This Row],[Item]],CAT_MOD_v31[NÚMERO DE ARTÍCULO (SAP)],CAT_MOD_v31[COLOR],"",0)</f>
        <v>Perla</v>
      </c>
      <c r="G675" s="2">
        <f>_xlfn.XLOOKUP(Cat_SKU[[#This Row],[Item]],CAT_MOD_v31[NÚMERO DE ARTÍCULO (SAP)],CAT_MOD_v31[AÑO],"",0)</f>
        <v>2025</v>
      </c>
    </row>
    <row r="676" spans="1:7" x14ac:dyDescent="0.35">
      <c r="A676" t="s">
        <v>148</v>
      </c>
      <c r="B676" s="1">
        <v>88503365</v>
      </c>
      <c r="C676" t="s">
        <v>119</v>
      </c>
      <c r="D676" t="s">
        <v>283</v>
      </c>
      <c r="E676" s="2" t="str">
        <f>_xlfn.XLOOKUP(Cat_SKU[[#This Row],[Item]],CAT_MOD_v31[NÚMERO DE ARTÍCULO (SAP)],CAT_MOD_v31[RESUMIDO],"",0)</f>
        <v>Pulsar NS200 UG</v>
      </c>
      <c r="F676" s="2" t="str">
        <f>_xlfn.XLOOKUP(Cat_SKU[[#This Row],[Item]],CAT_MOD_v31[NÚMERO DE ARTÍCULO (SAP)],CAT_MOD_v31[COLOR],"",0)</f>
        <v>Gris</v>
      </c>
      <c r="G676" s="2">
        <f>_xlfn.XLOOKUP(Cat_SKU[[#This Row],[Item]],CAT_MOD_v31[NÚMERO DE ARTÍCULO (SAP)],CAT_MOD_v31[AÑO],"",0)</f>
        <v>2025</v>
      </c>
    </row>
    <row r="677" spans="1:7" x14ac:dyDescent="0.35">
      <c r="A677" t="s">
        <v>148</v>
      </c>
      <c r="B677" s="1">
        <v>88503693</v>
      </c>
      <c r="C677" t="s">
        <v>120</v>
      </c>
      <c r="D677" t="s">
        <v>285</v>
      </c>
      <c r="E677" s="2" t="str">
        <f>_xlfn.XLOOKUP(Cat_SKU[[#This Row],[Item]],CAT_MOD_v31[NÚMERO DE ARTÍCULO (SAP)],CAT_MOD_v31[RESUMIDO],"",0)</f>
        <v>Pulsar NS200 UG</v>
      </c>
      <c r="F677" s="2" t="str">
        <f>_xlfn.XLOOKUP(Cat_SKU[[#This Row],[Item]],CAT_MOD_v31[NÚMERO DE ARTÍCULO (SAP)],CAT_MOD_v31[COLOR],"",0)</f>
        <v>Negro</v>
      </c>
      <c r="G677" s="2">
        <f>_xlfn.XLOOKUP(Cat_SKU[[#This Row],[Item]],CAT_MOD_v31[NÚMERO DE ARTÍCULO (SAP)],CAT_MOD_v31[AÑO],"",0)</f>
        <v>2025</v>
      </c>
    </row>
    <row r="678" spans="1:7" x14ac:dyDescent="0.35">
      <c r="A678" t="s">
        <v>148</v>
      </c>
      <c r="B678" s="1">
        <v>88503718</v>
      </c>
      <c r="C678" t="s">
        <v>121</v>
      </c>
      <c r="D678" t="s">
        <v>286</v>
      </c>
      <c r="E678" s="2" t="str">
        <f>_xlfn.XLOOKUP(Cat_SKU[[#This Row],[Item]],CAT_MOD_v31[NÚMERO DE ARTÍCULO (SAP)],CAT_MOD_v31[RESUMIDO],"",0)</f>
        <v>Pulsar NS200 UG</v>
      </c>
      <c r="F678" s="2" t="str">
        <f>_xlfn.XLOOKUP(Cat_SKU[[#This Row],[Item]],CAT_MOD_v31[NÚMERO DE ARTÍCULO (SAP)],CAT_MOD_v31[COLOR],"",0)</f>
        <v>Perla</v>
      </c>
      <c r="G678" s="2">
        <f>_xlfn.XLOOKUP(Cat_SKU[[#This Row],[Item]],CAT_MOD_v31[NÚMERO DE ARTÍCULO (SAP)],CAT_MOD_v31[AÑO],"",0)</f>
        <v>2025</v>
      </c>
    </row>
    <row r="679" spans="1:7" x14ac:dyDescent="0.35">
      <c r="A679" t="s">
        <v>148</v>
      </c>
      <c r="B679" s="1">
        <v>88503736</v>
      </c>
      <c r="C679" t="s">
        <v>104</v>
      </c>
      <c r="D679" t="s">
        <v>284</v>
      </c>
      <c r="E679" s="2" t="str">
        <f>_xlfn.XLOOKUP(Cat_SKU[[#This Row],[Item]],CAT_MOD_v31[NÚMERO DE ARTÍCULO (SAP)],CAT_MOD_v31[RESUMIDO],"",0)</f>
        <v>Pulsar RS200</v>
      </c>
      <c r="F679" s="2" t="str">
        <f>_xlfn.XLOOKUP(Cat_SKU[[#This Row],[Item]],CAT_MOD_v31[NÚMERO DE ARTÍCULO (SAP)],CAT_MOD_v31[COLOR],"",0)</f>
        <v>Gris</v>
      </c>
      <c r="G679" s="2">
        <f>_xlfn.XLOOKUP(Cat_SKU[[#This Row],[Item]],CAT_MOD_v31[NÚMERO DE ARTÍCULO (SAP)],CAT_MOD_v31[AÑO],"",0)</f>
        <v>2025</v>
      </c>
    </row>
    <row r="680" spans="1:7" x14ac:dyDescent="0.35">
      <c r="A680" t="s">
        <v>148</v>
      </c>
      <c r="B680" s="1">
        <v>88503754</v>
      </c>
      <c r="C680" t="s">
        <v>105</v>
      </c>
      <c r="D680" t="s">
        <v>287</v>
      </c>
      <c r="E680" s="2" t="str">
        <f>_xlfn.XLOOKUP(Cat_SKU[[#This Row],[Item]],CAT_MOD_v31[NÚMERO DE ARTÍCULO (SAP)],CAT_MOD_v31[RESUMIDO],"",0)</f>
        <v>Pulsar RS200</v>
      </c>
      <c r="F680" s="2" t="str">
        <f>_xlfn.XLOOKUP(Cat_SKU[[#This Row],[Item]],CAT_MOD_v31[NÚMERO DE ARTÍCULO (SAP)],CAT_MOD_v31[COLOR],"",0)</f>
        <v>Perla</v>
      </c>
      <c r="G680" s="2">
        <f>_xlfn.XLOOKUP(Cat_SKU[[#This Row],[Item]],CAT_MOD_v31[NÚMERO DE ARTÍCULO (SAP)],CAT_MOD_v31[AÑO],"",0)</f>
        <v>2025</v>
      </c>
    </row>
    <row r="681" spans="1:7" x14ac:dyDescent="0.35">
      <c r="A681" t="s">
        <v>148</v>
      </c>
      <c r="B681" s="1">
        <v>89941492</v>
      </c>
      <c r="C681" t="s">
        <v>134</v>
      </c>
      <c r="D681" t="s">
        <v>273</v>
      </c>
      <c r="E681" s="2" t="str">
        <f>_xlfn.XLOOKUP(Cat_SKU[[#This Row],[Item]],CAT_MOD_v31[NÚMERO DE ARTÍCULO (SAP)],CAT_MOD_v31[RESUMIDO],"",0)</f>
        <v>Pulsar N250</v>
      </c>
      <c r="F681" s="2" t="str">
        <f>_xlfn.XLOOKUP(Cat_SKU[[#This Row],[Item]],CAT_MOD_v31[NÚMERO DE ARTÍCULO (SAP)],CAT_MOD_v31[COLOR],"",0)</f>
        <v>Negro</v>
      </c>
      <c r="G681" s="2">
        <f>_xlfn.XLOOKUP(Cat_SKU[[#This Row],[Item]],CAT_MOD_v31[NÚMERO DE ARTÍCULO (SAP)],CAT_MOD_v31[AÑO],"",0)</f>
        <v>2025</v>
      </c>
    </row>
    <row r="682" spans="1:7" x14ac:dyDescent="0.35">
      <c r="A682" t="s">
        <v>148</v>
      </c>
      <c r="B682" s="1">
        <v>90303768</v>
      </c>
      <c r="C682" t="s">
        <v>131</v>
      </c>
      <c r="D682" t="s">
        <v>276</v>
      </c>
      <c r="E682" s="2" t="str">
        <f>_xlfn.XLOOKUP(Cat_SKU[[#This Row],[Item]],CAT_MOD_v31[NÚMERO DE ARTÍCULO (SAP)],CAT_MOD_v31[RESUMIDO],"",0)</f>
        <v>Pulsar N250</v>
      </c>
      <c r="F682" s="2" t="str">
        <f>_xlfn.XLOOKUP(Cat_SKU[[#This Row],[Item]],CAT_MOD_v31[NÚMERO DE ARTÍCULO (SAP)],CAT_MOD_v31[COLOR],"",0)</f>
        <v>Amarillo</v>
      </c>
      <c r="G682" s="2">
        <f>_xlfn.XLOOKUP(Cat_SKU[[#This Row],[Item]],CAT_MOD_v31[NÚMERO DE ARTÍCULO (SAP)],CAT_MOD_v31[AÑO],"",0)</f>
        <v>2025</v>
      </c>
    </row>
    <row r="683" spans="1:7" x14ac:dyDescent="0.35">
      <c r="A683" t="s">
        <v>148</v>
      </c>
      <c r="B683" s="1">
        <v>90303786</v>
      </c>
      <c r="C683" t="s">
        <v>132</v>
      </c>
      <c r="D683" t="s">
        <v>275</v>
      </c>
      <c r="E683" s="2" t="str">
        <f>_xlfn.XLOOKUP(Cat_SKU[[#This Row],[Item]],CAT_MOD_v31[NÚMERO DE ARTÍCULO (SAP)],CAT_MOD_v31[RESUMIDO],"",0)</f>
        <v>Pulsar N250</v>
      </c>
      <c r="F683" s="2" t="str">
        <f>_xlfn.XLOOKUP(Cat_SKU[[#This Row],[Item]],CAT_MOD_v31[NÚMERO DE ARTÍCULO (SAP)],CAT_MOD_v31[COLOR],"",0)</f>
        <v>Azul</v>
      </c>
      <c r="G683" s="2">
        <f>_xlfn.XLOOKUP(Cat_SKU[[#This Row],[Item]],CAT_MOD_v31[NÚMERO DE ARTÍCULO (SAP)],CAT_MOD_v31[AÑO],"",0)</f>
        <v>2025</v>
      </c>
    </row>
    <row r="684" spans="1:7" x14ac:dyDescent="0.35">
      <c r="A684" t="s">
        <v>148</v>
      </c>
      <c r="B684" s="1">
        <v>90303786</v>
      </c>
      <c r="C684" t="s">
        <v>785</v>
      </c>
      <c r="D684" t="s">
        <v>273</v>
      </c>
      <c r="E684" s="2" t="str">
        <f>_xlfn.XLOOKUP(Cat_SKU[[#This Row],[Item]],CAT_MOD_v31[NÚMERO DE ARTÍCULO (SAP)],CAT_MOD_v31[RESUMIDO],"",0)</f>
        <v>Pulsar N250</v>
      </c>
      <c r="F684" s="2" t="str">
        <f>_xlfn.XLOOKUP(Cat_SKU[[#This Row],[Item]],CAT_MOD_v31[NÚMERO DE ARTÍCULO (SAP)],CAT_MOD_v31[COLOR],"",0)</f>
        <v>Negro</v>
      </c>
      <c r="G684" s="2">
        <f>_xlfn.XLOOKUP(Cat_SKU[[#This Row],[Item]],CAT_MOD_v31[NÚMERO DE ARTÍCULO (SAP)],CAT_MOD_v31[AÑO],"",0)</f>
        <v>2025</v>
      </c>
    </row>
    <row r="685" spans="1:7" x14ac:dyDescent="0.35">
      <c r="A685" t="s">
        <v>148</v>
      </c>
      <c r="B685" s="1">
        <v>90303801</v>
      </c>
      <c r="C685" t="s">
        <v>116</v>
      </c>
      <c r="D685" t="s">
        <v>278</v>
      </c>
      <c r="E685" s="2" t="str">
        <f>_xlfn.XLOOKUP(Cat_SKU[[#This Row],[Item]],CAT_MOD_v31[NÚMERO DE ARTÍCULO (SAP)],CAT_MOD_v31[RESUMIDO],"",0)</f>
        <v>Pulsar NS400z</v>
      </c>
      <c r="F685" s="2" t="str">
        <f>_xlfn.XLOOKUP(Cat_SKU[[#This Row],[Item]],CAT_MOD_v31[NÚMERO DE ARTÍCULO (SAP)],CAT_MOD_v31[COLOR],"",0)</f>
        <v>Negro</v>
      </c>
      <c r="G685" s="2">
        <f>_xlfn.XLOOKUP(Cat_SKU[[#This Row],[Item]],CAT_MOD_v31[NÚMERO DE ARTÍCULO (SAP)],CAT_MOD_v31[AÑO],"",0)</f>
        <v>2025</v>
      </c>
    </row>
    <row r="686" spans="1:7" x14ac:dyDescent="0.35">
      <c r="A686" t="s">
        <v>148</v>
      </c>
      <c r="B686" s="1">
        <v>90303801</v>
      </c>
      <c r="C686" t="s">
        <v>786</v>
      </c>
      <c r="D686" t="s">
        <v>808</v>
      </c>
      <c r="E686" s="2" t="str">
        <f>_xlfn.XLOOKUP(Cat_SKU[[#This Row],[Item]],CAT_MOD_v31[NÚMERO DE ARTÍCULO (SAP)],CAT_MOD_v31[RESUMIDO],"",0)</f>
        <v>Pulsar NS400z</v>
      </c>
      <c r="F686" s="2" t="str">
        <f>_xlfn.XLOOKUP(Cat_SKU[[#This Row],[Item]],CAT_MOD_v31[NÚMERO DE ARTÍCULO (SAP)],CAT_MOD_v31[COLOR],"",0)</f>
        <v>Negro</v>
      </c>
      <c r="G686" s="2">
        <f>_xlfn.XLOOKUP(Cat_SKU[[#This Row],[Item]],CAT_MOD_v31[NÚMERO DE ARTÍCULO (SAP)],CAT_MOD_v31[AÑO],"",0)</f>
        <v>2025</v>
      </c>
    </row>
    <row r="687" spans="1:7" x14ac:dyDescent="0.35">
      <c r="A687" t="s">
        <v>148</v>
      </c>
      <c r="B687" s="1">
        <v>90303829</v>
      </c>
      <c r="C687" t="s">
        <v>117</v>
      </c>
      <c r="D687" t="s">
        <v>281</v>
      </c>
      <c r="E687" s="2" t="str">
        <f>_xlfn.XLOOKUP(Cat_SKU[[#This Row],[Item]],CAT_MOD_v31[NÚMERO DE ARTÍCULO (SAP)],CAT_MOD_v31[RESUMIDO],"",0)</f>
        <v>Pulsar NS400z</v>
      </c>
      <c r="F687" s="2" t="str">
        <f>_xlfn.XLOOKUP(Cat_SKU[[#This Row],[Item]],CAT_MOD_v31[NÚMERO DE ARTÍCULO (SAP)],CAT_MOD_v31[COLOR],"",0)</f>
        <v>Perla</v>
      </c>
      <c r="G687" s="2">
        <f>_xlfn.XLOOKUP(Cat_SKU[[#This Row],[Item]],CAT_MOD_v31[NÚMERO DE ARTÍCULO (SAP)],CAT_MOD_v31[AÑO],"",0)</f>
        <v>2025</v>
      </c>
    </row>
    <row r="688" spans="1:7" x14ac:dyDescent="0.35">
      <c r="A688" t="s">
        <v>148</v>
      </c>
      <c r="B688" s="1">
        <v>90303847</v>
      </c>
      <c r="C688" t="s">
        <v>118</v>
      </c>
      <c r="D688" t="s">
        <v>279</v>
      </c>
      <c r="E688" s="2" t="str">
        <f>_xlfn.XLOOKUP(Cat_SKU[[#This Row],[Item]],CAT_MOD_v31[NÚMERO DE ARTÍCULO (SAP)],CAT_MOD_v31[RESUMIDO],"",0)</f>
        <v>Pulsar NS400z</v>
      </c>
      <c r="F688" s="2" t="str">
        <f>_xlfn.XLOOKUP(Cat_SKU[[#This Row],[Item]],CAT_MOD_v31[NÚMERO DE ARTÍCULO (SAP)],CAT_MOD_v31[COLOR],"",0)</f>
        <v>Rojo</v>
      </c>
      <c r="G688" s="2">
        <f>_xlfn.XLOOKUP(Cat_SKU[[#This Row],[Item]],CAT_MOD_v31[NÚMERO DE ARTÍCULO (SAP)],CAT_MOD_v31[AÑO],"",0)</f>
        <v>2025</v>
      </c>
    </row>
    <row r="689" spans="1:7" x14ac:dyDescent="0.35">
      <c r="A689" t="s">
        <v>148</v>
      </c>
      <c r="B689" s="1">
        <v>90303865</v>
      </c>
      <c r="C689" t="s">
        <v>115</v>
      </c>
      <c r="D689" t="s">
        <v>280</v>
      </c>
      <c r="E689" s="2" t="str">
        <f>_xlfn.XLOOKUP(Cat_SKU[[#This Row],[Item]],CAT_MOD_v31[NÚMERO DE ARTÍCULO (SAP)],CAT_MOD_v31[RESUMIDO],"",0)</f>
        <v>Pulsar NS400z</v>
      </c>
      <c r="F689" s="2" t="str">
        <f>_xlfn.XLOOKUP(Cat_SKU[[#This Row],[Item]],CAT_MOD_v31[NÚMERO DE ARTÍCULO (SAP)],CAT_MOD_v31[COLOR],"",0)</f>
        <v>Gris</v>
      </c>
      <c r="G689" s="2">
        <f>_xlfn.XLOOKUP(Cat_SKU[[#This Row],[Item]],CAT_MOD_v31[NÚMERO DE ARTÍCULO (SAP)],CAT_MOD_v31[AÑO],"",0)</f>
        <v>2025</v>
      </c>
    </row>
    <row r="690" spans="1:7" x14ac:dyDescent="0.35">
      <c r="A690" t="s">
        <v>148</v>
      </c>
      <c r="B690" s="1">
        <v>91396288</v>
      </c>
      <c r="C690" t="s">
        <v>860</v>
      </c>
      <c r="D690" t="s">
        <v>889</v>
      </c>
      <c r="E690" s="2" t="str">
        <f>_xlfn.XLOOKUP(Cat_SKU[[#This Row],[Item]],CAT_MOD_v31[NÚMERO DE ARTÍCULO (SAP)],CAT_MOD_v31[RESUMIDO],"",0)</f>
        <v/>
      </c>
      <c r="F690" s="2" t="str">
        <f>_xlfn.XLOOKUP(Cat_SKU[[#This Row],[Item]],CAT_MOD_v31[NÚMERO DE ARTÍCULO (SAP)],CAT_MOD_v31[COLOR],"",0)</f>
        <v/>
      </c>
      <c r="G690" s="2" t="str">
        <f>_xlfn.XLOOKUP(Cat_SKU[[#This Row],[Item]],CAT_MOD_v31[NÚMERO DE ARTÍCULO (SAP)],CAT_MOD_v31[AÑO],"",0)</f>
        <v/>
      </c>
    </row>
    <row r="691" spans="1:7" x14ac:dyDescent="0.35">
      <c r="A691" t="s">
        <v>148</v>
      </c>
      <c r="B691" s="1">
        <v>91396321</v>
      </c>
      <c r="C691" t="s">
        <v>861</v>
      </c>
      <c r="D691" t="s">
        <v>889</v>
      </c>
      <c r="E691" s="2" t="str">
        <f>_xlfn.XLOOKUP(Cat_SKU[[#This Row],[Item]],CAT_MOD_v31[NÚMERO DE ARTÍCULO (SAP)],CAT_MOD_v31[RESUMIDO],"",0)</f>
        <v/>
      </c>
      <c r="F691" s="2" t="str">
        <f>_xlfn.XLOOKUP(Cat_SKU[[#This Row],[Item]],CAT_MOD_v31[NÚMERO DE ARTÍCULO (SAP)],CAT_MOD_v31[COLOR],"",0)</f>
        <v/>
      </c>
      <c r="G691" s="2" t="str">
        <f>_xlfn.XLOOKUP(Cat_SKU[[#This Row],[Item]],CAT_MOD_v31[NÚMERO DE ARTÍCULO (SAP)],CAT_MOD_v31[AÑO],"",0)</f>
        <v/>
      </c>
    </row>
    <row r="692" spans="1:7" x14ac:dyDescent="0.35">
      <c r="A692" t="s">
        <v>148</v>
      </c>
      <c r="B692" s="1">
        <v>91396376</v>
      </c>
      <c r="C692" t="s">
        <v>862</v>
      </c>
      <c r="D692" t="s">
        <v>890</v>
      </c>
      <c r="E692" s="2" t="str">
        <f>_xlfn.XLOOKUP(Cat_SKU[[#This Row],[Item]],CAT_MOD_v31[NÚMERO DE ARTÍCULO (SAP)],CAT_MOD_v31[RESUMIDO],"",0)</f>
        <v/>
      </c>
      <c r="F692" s="2" t="str">
        <f>_xlfn.XLOOKUP(Cat_SKU[[#This Row],[Item]],CAT_MOD_v31[NÚMERO DE ARTÍCULO (SAP)],CAT_MOD_v31[COLOR],"",0)</f>
        <v/>
      </c>
      <c r="G692" s="2" t="str">
        <f>_xlfn.XLOOKUP(Cat_SKU[[#This Row],[Item]],CAT_MOD_v31[NÚMERO DE ARTÍCULO (SAP)],CAT_MOD_v31[AÑO],"",0)</f>
        <v/>
      </c>
    </row>
    <row r="693" spans="1:7" x14ac:dyDescent="0.35">
      <c r="A693" t="s">
        <v>148</v>
      </c>
      <c r="B693" s="1">
        <v>91396428</v>
      </c>
      <c r="C693" t="s">
        <v>863</v>
      </c>
      <c r="D693" t="s">
        <v>890</v>
      </c>
      <c r="E693" s="2" t="str">
        <f>_xlfn.XLOOKUP(Cat_SKU[[#This Row],[Item]],CAT_MOD_v31[NÚMERO DE ARTÍCULO (SAP)],CAT_MOD_v31[RESUMIDO],"",0)</f>
        <v/>
      </c>
      <c r="F693" s="2" t="str">
        <f>_xlfn.XLOOKUP(Cat_SKU[[#This Row],[Item]],CAT_MOD_v31[NÚMERO DE ARTÍCULO (SAP)],CAT_MOD_v31[COLOR],"",0)</f>
        <v/>
      </c>
      <c r="G693" s="2" t="str">
        <f>_xlfn.XLOOKUP(Cat_SKU[[#This Row],[Item]],CAT_MOD_v31[NÚMERO DE ARTÍCULO (SAP)],CAT_MOD_v31[AÑO],"",0)</f>
        <v/>
      </c>
    </row>
    <row r="694" spans="1:7" x14ac:dyDescent="0.35">
      <c r="A694" t="s">
        <v>148</v>
      </c>
      <c r="B694" s="1">
        <v>91396464</v>
      </c>
      <c r="C694" t="s">
        <v>864</v>
      </c>
      <c r="D694" t="s">
        <v>891</v>
      </c>
      <c r="E694" s="2" t="str">
        <f>_xlfn.XLOOKUP(Cat_SKU[[#This Row],[Item]],CAT_MOD_v31[NÚMERO DE ARTÍCULO (SAP)],CAT_MOD_v31[RESUMIDO],"",0)</f>
        <v/>
      </c>
      <c r="F694" s="2" t="str">
        <f>_xlfn.XLOOKUP(Cat_SKU[[#This Row],[Item]],CAT_MOD_v31[NÚMERO DE ARTÍCULO (SAP)],CAT_MOD_v31[COLOR],"",0)</f>
        <v/>
      </c>
      <c r="G694" s="2" t="str">
        <f>_xlfn.XLOOKUP(Cat_SKU[[#This Row],[Item]],CAT_MOD_v31[NÚMERO DE ARTÍCULO (SAP)],CAT_MOD_v31[AÑO],"",0)</f>
        <v/>
      </c>
    </row>
    <row r="695" spans="1:7" x14ac:dyDescent="0.35">
      <c r="A695" t="s">
        <v>148</v>
      </c>
      <c r="B695" s="1">
        <v>91396507</v>
      </c>
      <c r="C695" t="s">
        <v>865</v>
      </c>
      <c r="D695" t="s">
        <v>892</v>
      </c>
      <c r="E695" s="2" t="str">
        <f>_xlfn.XLOOKUP(Cat_SKU[[#This Row],[Item]],CAT_MOD_v31[NÚMERO DE ARTÍCULO (SAP)],CAT_MOD_v31[RESUMIDO],"",0)</f>
        <v/>
      </c>
      <c r="F695" s="2" t="str">
        <f>_xlfn.XLOOKUP(Cat_SKU[[#This Row],[Item]],CAT_MOD_v31[NÚMERO DE ARTÍCULO (SAP)],CAT_MOD_v31[COLOR],"",0)</f>
        <v/>
      </c>
      <c r="G695" s="2" t="str">
        <f>_xlfn.XLOOKUP(Cat_SKU[[#This Row],[Item]],CAT_MOD_v31[NÚMERO DE ARTÍCULO (SAP)],CAT_MOD_v31[AÑO],"",0)</f>
        <v/>
      </c>
    </row>
    <row r="696" spans="1:7" x14ac:dyDescent="0.35">
      <c r="A696" t="s">
        <v>148</v>
      </c>
      <c r="B696" s="1">
        <v>91396978</v>
      </c>
      <c r="C696" t="s">
        <v>855</v>
      </c>
      <c r="D696" t="s">
        <v>887</v>
      </c>
      <c r="E696" s="2" t="str">
        <f>_xlfn.XLOOKUP(Cat_SKU[[#This Row],[Item]],CAT_MOD_v31[NÚMERO DE ARTÍCULO (SAP)],CAT_MOD_v31[RESUMIDO],"",0)</f>
        <v/>
      </c>
      <c r="F696" s="2" t="str">
        <f>_xlfn.XLOOKUP(Cat_SKU[[#This Row],[Item]],CAT_MOD_v31[NÚMERO DE ARTÍCULO (SAP)],CAT_MOD_v31[COLOR],"",0)</f>
        <v/>
      </c>
      <c r="G696" s="2" t="str">
        <f>_xlfn.XLOOKUP(Cat_SKU[[#This Row],[Item]],CAT_MOD_v31[NÚMERO DE ARTÍCULO (SAP)],CAT_MOD_v31[AÑO],"",0)</f>
        <v/>
      </c>
    </row>
    <row r="697" spans="1:7" x14ac:dyDescent="0.35">
      <c r="A697" t="s">
        <v>148</v>
      </c>
      <c r="B697" s="1">
        <v>91396987</v>
      </c>
      <c r="C697" t="s">
        <v>855</v>
      </c>
      <c r="D697" t="s">
        <v>887</v>
      </c>
      <c r="E697" s="2" t="str">
        <f>_xlfn.XLOOKUP(Cat_SKU[[#This Row],[Item]],CAT_MOD_v31[NÚMERO DE ARTÍCULO (SAP)],CAT_MOD_v31[RESUMIDO],"",0)</f>
        <v/>
      </c>
      <c r="F697" s="2" t="str">
        <f>_xlfn.XLOOKUP(Cat_SKU[[#This Row],[Item]],CAT_MOD_v31[NÚMERO DE ARTÍCULO (SAP)],CAT_MOD_v31[COLOR],"",0)</f>
        <v/>
      </c>
      <c r="G697" s="2" t="str">
        <f>_xlfn.XLOOKUP(Cat_SKU[[#This Row],[Item]],CAT_MOD_v31[NÚMERO DE ARTÍCULO (SAP)],CAT_MOD_v31[AÑO],"",0)</f>
        <v/>
      </c>
    </row>
    <row r="698" spans="1:7" x14ac:dyDescent="0.35">
      <c r="A698" t="s">
        <v>148</v>
      </c>
      <c r="B698" s="1">
        <v>91396996</v>
      </c>
      <c r="C698" t="s">
        <v>866</v>
      </c>
      <c r="D698" t="s">
        <v>893</v>
      </c>
      <c r="E698" s="2" t="str">
        <f>_xlfn.XLOOKUP(Cat_SKU[[#This Row],[Item]],CAT_MOD_v31[NÚMERO DE ARTÍCULO (SAP)],CAT_MOD_v31[RESUMIDO],"",0)</f>
        <v/>
      </c>
      <c r="F698" s="2" t="str">
        <f>_xlfn.XLOOKUP(Cat_SKU[[#This Row],[Item]],CAT_MOD_v31[NÚMERO DE ARTÍCULO (SAP)],CAT_MOD_v31[COLOR],"",0)</f>
        <v/>
      </c>
      <c r="G698" s="2" t="str">
        <f>_xlfn.XLOOKUP(Cat_SKU[[#This Row],[Item]],CAT_MOD_v31[NÚMERO DE ARTÍCULO (SAP)],CAT_MOD_v31[AÑO],"",0)</f>
        <v/>
      </c>
    </row>
    <row r="699" spans="1:7" x14ac:dyDescent="0.35">
      <c r="A699" t="s">
        <v>148</v>
      </c>
      <c r="B699" s="1">
        <v>91397117</v>
      </c>
      <c r="C699" t="s">
        <v>866</v>
      </c>
      <c r="D699" t="s">
        <v>893</v>
      </c>
      <c r="E699" s="2" t="str">
        <f>_xlfn.XLOOKUP(Cat_SKU[[#This Row],[Item]],CAT_MOD_v31[NÚMERO DE ARTÍCULO (SAP)],CAT_MOD_v31[RESUMIDO],"",0)</f>
        <v/>
      </c>
      <c r="F699" s="2" t="str">
        <f>_xlfn.XLOOKUP(Cat_SKU[[#This Row],[Item]],CAT_MOD_v31[NÚMERO DE ARTÍCULO (SAP)],CAT_MOD_v31[COLOR],"",0)</f>
        <v/>
      </c>
      <c r="G699" s="2" t="str">
        <f>_xlfn.XLOOKUP(Cat_SKU[[#This Row],[Item]],CAT_MOD_v31[NÚMERO DE ARTÍCULO (SAP)],CAT_MOD_v31[AÑO],"",0)</f>
        <v/>
      </c>
    </row>
    <row r="700" spans="1:7" x14ac:dyDescent="0.35">
      <c r="A700" t="s">
        <v>148</v>
      </c>
      <c r="B700" s="1">
        <v>91397199</v>
      </c>
      <c r="C700" t="s">
        <v>867</v>
      </c>
      <c r="D700" t="s">
        <v>893</v>
      </c>
      <c r="E700" s="2" t="str">
        <f>_xlfn.XLOOKUP(Cat_SKU[[#This Row],[Item]],CAT_MOD_v31[NÚMERO DE ARTÍCULO (SAP)],CAT_MOD_v31[RESUMIDO],"",0)</f>
        <v/>
      </c>
      <c r="F700" s="2" t="str">
        <f>_xlfn.XLOOKUP(Cat_SKU[[#This Row],[Item]],CAT_MOD_v31[NÚMERO DE ARTÍCULO (SAP)],CAT_MOD_v31[COLOR],"",0)</f>
        <v/>
      </c>
      <c r="G700" s="2" t="str">
        <f>_xlfn.XLOOKUP(Cat_SKU[[#This Row],[Item]],CAT_MOD_v31[NÚMERO DE ARTÍCULO (SAP)],CAT_MOD_v31[AÑO],"",0)</f>
        <v/>
      </c>
    </row>
    <row r="701" spans="1:7" x14ac:dyDescent="0.35">
      <c r="A701" t="s">
        <v>148</v>
      </c>
      <c r="B701" s="1">
        <v>91397205</v>
      </c>
      <c r="C701" t="s">
        <v>857</v>
      </c>
      <c r="D701" t="s">
        <v>889</v>
      </c>
      <c r="E701" s="2" t="str">
        <f>_xlfn.XLOOKUP(Cat_SKU[[#This Row],[Item]],CAT_MOD_v31[NÚMERO DE ARTÍCULO (SAP)],CAT_MOD_v31[RESUMIDO],"",0)</f>
        <v/>
      </c>
      <c r="F701" s="2" t="str">
        <f>_xlfn.XLOOKUP(Cat_SKU[[#This Row],[Item]],CAT_MOD_v31[NÚMERO DE ARTÍCULO (SAP)],CAT_MOD_v31[COLOR],"",0)</f>
        <v/>
      </c>
      <c r="G701" s="2" t="str">
        <f>_xlfn.XLOOKUP(Cat_SKU[[#This Row],[Item]],CAT_MOD_v31[NÚMERO DE ARTÍCULO (SAP)],CAT_MOD_v31[AÑO],"",0)</f>
        <v/>
      </c>
    </row>
    <row r="702" spans="1:7" x14ac:dyDescent="0.35">
      <c r="A702" t="s">
        <v>148</v>
      </c>
      <c r="B702" s="1">
        <v>91397214</v>
      </c>
      <c r="C702" t="s">
        <v>857</v>
      </c>
      <c r="D702" t="s">
        <v>887</v>
      </c>
      <c r="E702" s="2" t="str">
        <f>_xlfn.XLOOKUP(Cat_SKU[[#This Row],[Item]],CAT_MOD_v31[NÚMERO DE ARTÍCULO (SAP)],CAT_MOD_v31[RESUMIDO],"",0)</f>
        <v/>
      </c>
      <c r="F702" s="2" t="str">
        <f>_xlfn.XLOOKUP(Cat_SKU[[#This Row],[Item]],CAT_MOD_v31[NÚMERO DE ARTÍCULO (SAP)],CAT_MOD_v31[COLOR],"",0)</f>
        <v/>
      </c>
      <c r="G702" s="2" t="str">
        <f>_xlfn.XLOOKUP(Cat_SKU[[#This Row],[Item]],CAT_MOD_v31[NÚMERO DE ARTÍCULO (SAP)],CAT_MOD_v31[AÑO],"",0)</f>
        <v/>
      </c>
    </row>
    <row r="703" spans="1:7" x14ac:dyDescent="0.35">
      <c r="A703" t="s">
        <v>148</v>
      </c>
      <c r="B703" s="1">
        <v>91397296</v>
      </c>
      <c r="C703" t="s">
        <v>856</v>
      </c>
      <c r="D703" t="s">
        <v>887</v>
      </c>
      <c r="E703" s="2" t="str">
        <f>_xlfn.XLOOKUP(Cat_SKU[[#This Row],[Item]],CAT_MOD_v31[NÚMERO DE ARTÍCULO (SAP)],CAT_MOD_v31[RESUMIDO],"",0)</f>
        <v/>
      </c>
      <c r="F703" s="2" t="str">
        <f>_xlfn.XLOOKUP(Cat_SKU[[#This Row],[Item]],CAT_MOD_v31[NÚMERO DE ARTÍCULO (SAP)],CAT_MOD_v31[COLOR],"",0)</f>
        <v/>
      </c>
      <c r="G703" s="2" t="str">
        <f>_xlfn.XLOOKUP(Cat_SKU[[#This Row],[Item]],CAT_MOD_v31[NÚMERO DE ARTÍCULO (SAP)],CAT_MOD_v31[AÑO],"",0)</f>
        <v/>
      </c>
    </row>
    <row r="704" spans="1:7" x14ac:dyDescent="0.35">
      <c r="A704" t="s">
        <v>148</v>
      </c>
      <c r="B704" s="1">
        <v>91397302</v>
      </c>
      <c r="C704" t="s">
        <v>868</v>
      </c>
      <c r="D704" t="s">
        <v>893</v>
      </c>
      <c r="E704" s="2" t="str">
        <f>_xlfn.XLOOKUP(Cat_SKU[[#This Row],[Item]],CAT_MOD_v31[NÚMERO DE ARTÍCULO (SAP)],CAT_MOD_v31[RESUMIDO],"",0)</f>
        <v/>
      </c>
      <c r="F704" s="2" t="str">
        <f>_xlfn.XLOOKUP(Cat_SKU[[#This Row],[Item]],CAT_MOD_v31[NÚMERO DE ARTÍCULO (SAP)],CAT_MOD_v31[COLOR],"",0)</f>
        <v/>
      </c>
      <c r="G704" s="2" t="str">
        <f>_xlfn.XLOOKUP(Cat_SKU[[#This Row],[Item]],CAT_MOD_v31[NÚMERO DE ARTÍCULO (SAP)],CAT_MOD_v31[AÑO],"",0)</f>
        <v/>
      </c>
    </row>
    <row r="705" spans="1:7" x14ac:dyDescent="0.35">
      <c r="A705" t="s">
        <v>148</v>
      </c>
      <c r="B705" s="1">
        <v>91397320</v>
      </c>
      <c r="C705" t="s">
        <v>868</v>
      </c>
      <c r="D705" t="s">
        <v>893</v>
      </c>
      <c r="E705" s="2" t="str">
        <f>_xlfn.XLOOKUP(Cat_SKU[[#This Row],[Item]],CAT_MOD_v31[NÚMERO DE ARTÍCULO (SAP)],CAT_MOD_v31[RESUMIDO],"",0)</f>
        <v/>
      </c>
      <c r="F705" s="2" t="str">
        <f>_xlfn.XLOOKUP(Cat_SKU[[#This Row],[Item]],CAT_MOD_v31[NÚMERO DE ARTÍCULO (SAP)],CAT_MOD_v31[COLOR],"",0)</f>
        <v/>
      </c>
      <c r="G705" s="2" t="str">
        <f>_xlfn.XLOOKUP(Cat_SKU[[#This Row],[Item]],CAT_MOD_v31[NÚMERO DE ARTÍCULO (SAP)],CAT_MOD_v31[AÑO],"",0)</f>
        <v/>
      </c>
    </row>
    <row r="706" spans="1:7" x14ac:dyDescent="0.35">
      <c r="A706" t="s">
        <v>148</v>
      </c>
      <c r="B706" s="1">
        <v>91397348</v>
      </c>
      <c r="C706" t="s">
        <v>868</v>
      </c>
      <c r="D706" t="s">
        <v>893</v>
      </c>
      <c r="E706" s="2" t="str">
        <f>_xlfn.XLOOKUP(Cat_SKU[[#This Row],[Item]],CAT_MOD_v31[NÚMERO DE ARTÍCULO (SAP)],CAT_MOD_v31[RESUMIDO],"",0)</f>
        <v/>
      </c>
      <c r="F706" s="2" t="str">
        <f>_xlfn.XLOOKUP(Cat_SKU[[#This Row],[Item]],CAT_MOD_v31[NÚMERO DE ARTÍCULO (SAP)],CAT_MOD_v31[COLOR],"",0)</f>
        <v/>
      </c>
      <c r="G706" s="2" t="str">
        <f>_xlfn.XLOOKUP(Cat_SKU[[#This Row],[Item]],CAT_MOD_v31[NÚMERO DE ARTÍCULO (SAP)],CAT_MOD_v31[AÑO],"",0)</f>
        <v/>
      </c>
    </row>
    <row r="707" spans="1:7" x14ac:dyDescent="0.35">
      <c r="A707" t="s">
        <v>148</v>
      </c>
      <c r="B707" s="1">
        <v>91397357</v>
      </c>
      <c r="C707" t="s">
        <v>856</v>
      </c>
      <c r="D707" t="s">
        <v>887</v>
      </c>
      <c r="E707" s="2" t="str">
        <f>_xlfn.XLOOKUP(Cat_SKU[[#This Row],[Item]],CAT_MOD_v31[NÚMERO DE ARTÍCULO (SAP)],CAT_MOD_v31[RESUMIDO],"",0)</f>
        <v/>
      </c>
      <c r="F707" s="2" t="str">
        <f>_xlfn.XLOOKUP(Cat_SKU[[#This Row],[Item]],CAT_MOD_v31[NÚMERO DE ARTÍCULO (SAP)],CAT_MOD_v31[COLOR],"",0)</f>
        <v/>
      </c>
      <c r="G707" s="2" t="str">
        <f>_xlfn.XLOOKUP(Cat_SKU[[#This Row],[Item]],CAT_MOD_v31[NÚMERO DE ARTÍCULO (SAP)],CAT_MOD_v31[AÑO],"",0)</f>
        <v/>
      </c>
    </row>
    <row r="708" spans="1:7" x14ac:dyDescent="0.35">
      <c r="A708" t="s">
        <v>148</v>
      </c>
      <c r="B708" s="1">
        <v>91397409</v>
      </c>
      <c r="C708" t="s">
        <v>869</v>
      </c>
      <c r="D708" t="s">
        <v>894</v>
      </c>
      <c r="E708" s="2" t="str">
        <f>_xlfn.XLOOKUP(Cat_SKU[[#This Row],[Item]],CAT_MOD_v31[NÚMERO DE ARTÍCULO (SAP)],CAT_MOD_v31[RESUMIDO],"",0)</f>
        <v/>
      </c>
      <c r="F708" s="2" t="str">
        <f>_xlfn.XLOOKUP(Cat_SKU[[#This Row],[Item]],CAT_MOD_v31[NÚMERO DE ARTÍCULO (SAP)],CAT_MOD_v31[COLOR],"",0)</f>
        <v/>
      </c>
      <c r="G708" s="2" t="str">
        <f>_xlfn.XLOOKUP(Cat_SKU[[#This Row],[Item]],CAT_MOD_v31[NÚMERO DE ARTÍCULO (SAP)],CAT_MOD_v31[AÑO],"",0)</f>
        <v/>
      </c>
    </row>
    <row r="709" spans="1:7" x14ac:dyDescent="0.35">
      <c r="A709" t="s">
        <v>148</v>
      </c>
      <c r="B709" s="1">
        <v>91397436</v>
      </c>
      <c r="C709" t="s">
        <v>870</v>
      </c>
      <c r="D709" t="s">
        <v>895</v>
      </c>
      <c r="E709" s="2" t="str">
        <f>_xlfn.XLOOKUP(Cat_SKU[[#This Row],[Item]],CAT_MOD_v31[NÚMERO DE ARTÍCULO (SAP)],CAT_MOD_v31[RESUMIDO],"",0)</f>
        <v/>
      </c>
      <c r="F709" s="2" t="str">
        <f>_xlfn.XLOOKUP(Cat_SKU[[#This Row],[Item]],CAT_MOD_v31[NÚMERO DE ARTÍCULO (SAP)],CAT_MOD_v31[COLOR],"",0)</f>
        <v/>
      </c>
      <c r="G709" s="2" t="str">
        <f>_xlfn.XLOOKUP(Cat_SKU[[#This Row],[Item]],CAT_MOD_v31[NÚMERO DE ARTÍCULO (SAP)],CAT_MOD_v31[AÑO],"",0)</f>
        <v/>
      </c>
    </row>
    <row r="710" spans="1:7" x14ac:dyDescent="0.35">
      <c r="A710" t="s">
        <v>148</v>
      </c>
      <c r="B710" s="1">
        <v>91397445</v>
      </c>
      <c r="C710" t="s">
        <v>870</v>
      </c>
      <c r="D710" t="s">
        <v>895</v>
      </c>
      <c r="E710" s="2" t="str">
        <f>_xlfn.XLOOKUP(Cat_SKU[[#This Row],[Item]],CAT_MOD_v31[NÚMERO DE ARTÍCULO (SAP)],CAT_MOD_v31[RESUMIDO],"",0)</f>
        <v/>
      </c>
      <c r="F710" s="2" t="str">
        <f>_xlfn.XLOOKUP(Cat_SKU[[#This Row],[Item]],CAT_MOD_v31[NÚMERO DE ARTÍCULO (SAP)],CAT_MOD_v31[COLOR],"",0)</f>
        <v/>
      </c>
      <c r="G710" s="2" t="str">
        <f>_xlfn.XLOOKUP(Cat_SKU[[#This Row],[Item]],CAT_MOD_v31[NÚMERO DE ARTÍCULO (SAP)],CAT_MOD_v31[AÑO],"",0)</f>
        <v/>
      </c>
    </row>
    <row r="711" spans="1:7" x14ac:dyDescent="0.35">
      <c r="A711" t="s">
        <v>148</v>
      </c>
      <c r="B711" s="1">
        <v>91397454</v>
      </c>
      <c r="C711" t="s">
        <v>870</v>
      </c>
      <c r="D711" t="s">
        <v>895</v>
      </c>
      <c r="E711" s="2" t="str">
        <f>_xlfn.XLOOKUP(Cat_SKU[[#This Row],[Item]],CAT_MOD_v31[NÚMERO DE ARTÍCULO (SAP)],CAT_MOD_v31[RESUMIDO],"",0)</f>
        <v/>
      </c>
      <c r="F711" s="2" t="str">
        <f>_xlfn.XLOOKUP(Cat_SKU[[#This Row],[Item]],CAT_MOD_v31[NÚMERO DE ARTÍCULO (SAP)],CAT_MOD_v31[COLOR],"",0)</f>
        <v/>
      </c>
      <c r="G711" s="2" t="str">
        <f>_xlfn.XLOOKUP(Cat_SKU[[#This Row],[Item]],CAT_MOD_v31[NÚMERO DE ARTÍCULO (SAP)],CAT_MOD_v31[AÑO],"",0)</f>
        <v/>
      </c>
    </row>
    <row r="712" spans="1:7" x14ac:dyDescent="0.35">
      <c r="A712" t="s">
        <v>148</v>
      </c>
      <c r="B712" s="1">
        <v>91397463</v>
      </c>
      <c r="C712" t="s">
        <v>870</v>
      </c>
      <c r="D712" t="s">
        <v>895</v>
      </c>
      <c r="E712" s="2" t="str">
        <f>_xlfn.XLOOKUP(Cat_SKU[[#This Row],[Item]],CAT_MOD_v31[NÚMERO DE ARTÍCULO (SAP)],CAT_MOD_v31[RESUMIDO],"",0)</f>
        <v/>
      </c>
      <c r="F712" s="2" t="str">
        <f>_xlfn.XLOOKUP(Cat_SKU[[#This Row],[Item]],CAT_MOD_v31[NÚMERO DE ARTÍCULO (SAP)],CAT_MOD_v31[COLOR],"",0)</f>
        <v/>
      </c>
      <c r="G712" s="2" t="str">
        <f>_xlfn.XLOOKUP(Cat_SKU[[#This Row],[Item]],CAT_MOD_v31[NÚMERO DE ARTÍCULO (SAP)],CAT_MOD_v31[AÑO],"",0)</f>
        <v/>
      </c>
    </row>
    <row r="713" spans="1:7" x14ac:dyDescent="0.35">
      <c r="A713" t="s">
        <v>148</v>
      </c>
      <c r="B713" s="1">
        <v>91397490</v>
      </c>
      <c r="C713" t="s">
        <v>871</v>
      </c>
      <c r="D713" t="s">
        <v>896</v>
      </c>
      <c r="E713" s="2" t="str">
        <f>_xlfn.XLOOKUP(Cat_SKU[[#This Row],[Item]],CAT_MOD_v31[NÚMERO DE ARTÍCULO (SAP)],CAT_MOD_v31[RESUMIDO],"",0)</f>
        <v/>
      </c>
      <c r="F713" s="2" t="str">
        <f>_xlfn.XLOOKUP(Cat_SKU[[#This Row],[Item]],CAT_MOD_v31[NÚMERO DE ARTÍCULO (SAP)],CAT_MOD_v31[COLOR],"",0)</f>
        <v/>
      </c>
      <c r="G713" s="2" t="str">
        <f>_xlfn.XLOOKUP(Cat_SKU[[#This Row],[Item]],CAT_MOD_v31[NÚMERO DE ARTÍCULO (SAP)],CAT_MOD_v31[AÑO],"",0)</f>
        <v/>
      </c>
    </row>
    <row r="714" spans="1:7" x14ac:dyDescent="0.35">
      <c r="A714" t="s">
        <v>148</v>
      </c>
      <c r="B714" s="1">
        <v>91397524</v>
      </c>
      <c r="C714" t="s">
        <v>872</v>
      </c>
      <c r="D714" t="s">
        <v>888</v>
      </c>
      <c r="E714" s="2" t="str">
        <f>_xlfn.XLOOKUP(Cat_SKU[[#This Row],[Item]],CAT_MOD_v31[NÚMERO DE ARTÍCULO (SAP)],CAT_MOD_v31[RESUMIDO],"",0)</f>
        <v/>
      </c>
      <c r="F714" s="2" t="str">
        <f>_xlfn.XLOOKUP(Cat_SKU[[#This Row],[Item]],CAT_MOD_v31[NÚMERO DE ARTÍCULO (SAP)],CAT_MOD_v31[COLOR],"",0)</f>
        <v/>
      </c>
      <c r="G714" s="2" t="str">
        <f>_xlfn.XLOOKUP(Cat_SKU[[#This Row],[Item]],CAT_MOD_v31[NÚMERO DE ARTÍCULO (SAP)],CAT_MOD_v31[AÑO],"",0)</f>
        <v/>
      </c>
    </row>
    <row r="715" spans="1:7" x14ac:dyDescent="0.35">
      <c r="A715" t="s">
        <v>148</v>
      </c>
      <c r="B715" s="1">
        <v>91397551</v>
      </c>
      <c r="C715" t="s">
        <v>859</v>
      </c>
      <c r="D715" t="s">
        <v>888</v>
      </c>
      <c r="E715" s="2" t="str">
        <f>_xlfn.XLOOKUP(Cat_SKU[[#This Row],[Item]],CAT_MOD_v31[NÚMERO DE ARTÍCULO (SAP)],CAT_MOD_v31[RESUMIDO],"",0)</f>
        <v/>
      </c>
      <c r="F715" s="2" t="str">
        <f>_xlfn.XLOOKUP(Cat_SKU[[#This Row],[Item]],CAT_MOD_v31[NÚMERO DE ARTÍCULO (SAP)],CAT_MOD_v31[COLOR],"",0)</f>
        <v/>
      </c>
      <c r="G715" s="2" t="str">
        <f>_xlfn.XLOOKUP(Cat_SKU[[#This Row],[Item]],CAT_MOD_v31[NÚMERO DE ARTÍCULO (SAP)],CAT_MOD_v31[AÑO],"",0)</f>
        <v/>
      </c>
    </row>
    <row r="716" spans="1:7" x14ac:dyDescent="0.35">
      <c r="A716" t="s">
        <v>148</v>
      </c>
      <c r="B716" s="1">
        <v>91397588</v>
      </c>
      <c r="C716" t="s">
        <v>858</v>
      </c>
      <c r="D716" t="s">
        <v>888</v>
      </c>
      <c r="E716" s="2" t="str">
        <f>_xlfn.XLOOKUP(Cat_SKU[[#This Row],[Item]],CAT_MOD_v31[NÚMERO DE ARTÍCULO (SAP)],CAT_MOD_v31[RESUMIDO],"",0)</f>
        <v/>
      </c>
      <c r="F716" s="2" t="str">
        <f>_xlfn.XLOOKUP(Cat_SKU[[#This Row],[Item]],CAT_MOD_v31[NÚMERO DE ARTÍCULO (SAP)],CAT_MOD_v31[COLOR],"",0)</f>
        <v/>
      </c>
      <c r="G716" s="2" t="str">
        <f>_xlfn.XLOOKUP(Cat_SKU[[#This Row],[Item]],CAT_MOD_v31[NÚMERO DE ARTÍCULO (SAP)],CAT_MOD_v31[AÑO],"",0)</f>
        <v/>
      </c>
    </row>
    <row r="717" spans="1:7" x14ac:dyDescent="0.35">
      <c r="A717" t="s">
        <v>148</v>
      </c>
      <c r="B717" s="1">
        <v>91424095</v>
      </c>
      <c r="C717" t="s">
        <v>122</v>
      </c>
      <c r="D717" t="s">
        <v>359</v>
      </c>
      <c r="E717" s="2" t="str">
        <f>_xlfn.XLOOKUP(Cat_SKU[[#This Row],[Item]],CAT_MOD_v31[NÚMERO DE ARTÍCULO (SAP)],CAT_MOD_v31[RESUMIDO],"",0)</f>
        <v>Pulsar N250 FI ABS UG</v>
      </c>
      <c r="F717" s="2" t="str">
        <f>_xlfn.XLOOKUP(Cat_SKU[[#This Row],[Item]],CAT_MOD_v31[NÚMERO DE ARTÍCULO (SAP)],CAT_MOD_v31[COLOR],"",0)</f>
        <v>Negro</v>
      </c>
      <c r="G717" s="2">
        <f>_xlfn.XLOOKUP(Cat_SKU[[#This Row],[Item]],CAT_MOD_v31[NÚMERO DE ARTÍCULO (SAP)],CAT_MOD_v31[AÑO],"",0)</f>
        <v>2025</v>
      </c>
    </row>
    <row r="718" spans="1:7" x14ac:dyDescent="0.35">
      <c r="A718" t="s">
        <v>148</v>
      </c>
      <c r="B718" s="1">
        <v>91424110</v>
      </c>
      <c r="C718" t="s">
        <v>123</v>
      </c>
      <c r="D718" t="s">
        <v>272</v>
      </c>
      <c r="E718" s="2" t="str">
        <f>_xlfn.XLOOKUP(Cat_SKU[[#This Row],[Item]],CAT_MOD_v31[NÚMERO DE ARTÍCULO (SAP)],CAT_MOD_v31[RESUMIDO],"",0)</f>
        <v>Pulsar N250 FI ABS UG</v>
      </c>
      <c r="F718" s="2" t="str">
        <f>_xlfn.XLOOKUP(Cat_SKU[[#This Row],[Item]],CAT_MOD_v31[NÚMERO DE ARTÍCULO (SAP)],CAT_MOD_v31[COLOR],"",0)</f>
        <v>Rojo</v>
      </c>
      <c r="G718" s="2">
        <f>_xlfn.XLOOKUP(Cat_SKU[[#This Row],[Item]],CAT_MOD_v31[NÚMERO DE ARTÍCULO (SAP)],CAT_MOD_v31[AÑO],"",0)</f>
        <v>2025</v>
      </c>
    </row>
    <row r="719" spans="1:7" x14ac:dyDescent="0.35">
      <c r="A719" t="s">
        <v>148</v>
      </c>
      <c r="B719" s="1">
        <v>91782953</v>
      </c>
      <c r="C719" t="s">
        <v>873</v>
      </c>
      <c r="D719" t="s">
        <v>897</v>
      </c>
      <c r="E719" s="2" t="str">
        <f>_xlfn.XLOOKUP(Cat_SKU[[#This Row],[Item]],CAT_MOD_v31[NÚMERO DE ARTÍCULO (SAP)],CAT_MOD_v31[RESUMIDO],"",0)</f>
        <v/>
      </c>
      <c r="F719" s="2" t="str">
        <f>_xlfn.XLOOKUP(Cat_SKU[[#This Row],[Item]],CAT_MOD_v31[NÚMERO DE ARTÍCULO (SAP)],CAT_MOD_v31[COLOR],"",0)</f>
        <v/>
      </c>
      <c r="G719" s="2" t="str">
        <f>_xlfn.XLOOKUP(Cat_SKU[[#This Row],[Item]],CAT_MOD_v31[NÚMERO DE ARTÍCULO (SAP)],CAT_MOD_v31[AÑO],"",0)</f>
        <v/>
      </c>
    </row>
    <row r="720" spans="1:7" x14ac:dyDescent="0.35">
      <c r="A720" t="s">
        <v>148</v>
      </c>
      <c r="B720" s="1">
        <v>92722213</v>
      </c>
      <c r="C720" t="s">
        <v>136</v>
      </c>
      <c r="D720" t="s">
        <v>358</v>
      </c>
      <c r="E720" s="2" t="str">
        <f>_xlfn.XLOOKUP(Cat_SKU[[#This Row],[Item]],CAT_MOD_v31[NÚMERO DE ARTÍCULO (SAP)],CAT_MOD_v31[RESUMIDO],"",0)</f>
        <v>Pulsar N160 FI ABS UG</v>
      </c>
      <c r="F720" s="2" t="str">
        <f>_xlfn.XLOOKUP(Cat_SKU[[#This Row],[Item]],CAT_MOD_v31[NÚMERO DE ARTÍCULO (SAP)],CAT_MOD_v31[COLOR],"",0)</f>
        <v>Negro</v>
      </c>
      <c r="G720" s="2">
        <f>_xlfn.XLOOKUP(Cat_SKU[[#This Row],[Item]],CAT_MOD_v31[NÚMERO DE ARTÍCULO (SAP)],CAT_MOD_v31[AÑO],"",0)</f>
        <v>2025</v>
      </c>
    </row>
    <row r="721" spans="1:7" x14ac:dyDescent="0.35">
      <c r="A721" t="s">
        <v>148</v>
      </c>
      <c r="B721" s="1">
        <v>93936798</v>
      </c>
      <c r="C721" t="s">
        <v>127</v>
      </c>
      <c r="D721" t="s">
        <v>360</v>
      </c>
      <c r="E721" s="2" t="str">
        <f>_xlfn.XLOOKUP(Cat_SKU[[#This Row],[Item]],CAT_MOD_v31[NÚMERO DE ARTÍCULO (SAP)],CAT_MOD_v31[RESUMIDO],"",0)</f>
        <v>Pulsar N250 FI ABS</v>
      </c>
      <c r="F721" s="2" t="str">
        <f>_xlfn.XLOOKUP(Cat_SKU[[#This Row],[Item]],CAT_MOD_v31[NÚMERO DE ARTÍCULO (SAP)],CAT_MOD_v31[COLOR],"",0)</f>
        <v>Rojo</v>
      </c>
      <c r="G721" s="2">
        <f>_xlfn.XLOOKUP(Cat_SKU[[#This Row],[Item]],CAT_MOD_v31[NÚMERO DE ARTÍCULO (SAP)],CAT_MOD_v31[AÑO],"",0)</f>
        <v>2026</v>
      </c>
    </row>
    <row r="722" spans="1:7" x14ac:dyDescent="0.35">
      <c r="A722" t="s">
        <v>148</v>
      </c>
      <c r="B722" s="1">
        <v>93936798</v>
      </c>
      <c r="C722" t="s">
        <v>127</v>
      </c>
      <c r="D722" t="s">
        <v>406</v>
      </c>
      <c r="E722" s="2" t="str">
        <f>_xlfn.XLOOKUP(Cat_SKU[[#This Row],[Item]],CAT_MOD_v31[NÚMERO DE ARTÍCULO (SAP)],CAT_MOD_v31[RESUMIDO],"",0)</f>
        <v>Pulsar N250 FI ABS UG</v>
      </c>
      <c r="F722" s="2" t="str">
        <f>_xlfn.XLOOKUP(Cat_SKU[[#This Row],[Item]],CAT_MOD_v31[NÚMERO DE ARTÍCULO (SAP)],CAT_MOD_v31[COLOR],"",0)</f>
        <v>Perla</v>
      </c>
      <c r="G722" s="2">
        <f>_xlfn.XLOOKUP(Cat_SKU[[#This Row],[Item]],CAT_MOD_v31[NÚMERO DE ARTÍCULO (SAP)],CAT_MOD_v31[AÑO],"",0)</f>
        <v>2025</v>
      </c>
    </row>
    <row r="723" spans="1:7" x14ac:dyDescent="0.35">
      <c r="A723" t="s">
        <v>148</v>
      </c>
      <c r="B723" s="1">
        <v>93936813</v>
      </c>
      <c r="C723" t="s">
        <v>125</v>
      </c>
      <c r="D723" t="s">
        <v>270</v>
      </c>
      <c r="E723" s="2" t="str">
        <f>_xlfn.XLOOKUP(Cat_SKU[[#This Row],[Item]],CAT_MOD_v31[NÚMERO DE ARTÍCULO (SAP)],CAT_MOD_v31[RESUMIDO],"",0)</f>
        <v>Pulsar N250 FI ABS</v>
      </c>
      <c r="F723" s="2" t="str">
        <f>_xlfn.XLOOKUP(Cat_SKU[[#This Row],[Item]],CAT_MOD_v31[NÚMERO DE ARTÍCULO (SAP)],CAT_MOD_v31[COLOR],"",0)</f>
        <v>Negro</v>
      </c>
      <c r="G723" s="2">
        <f>_xlfn.XLOOKUP(Cat_SKU[[#This Row],[Item]],CAT_MOD_v31[NÚMERO DE ARTÍCULO (SAP)],CAT_MOD_v31[AÑO],"",0)</f>
        <v>2026</v>
      </c>
    </row>
    <row r="724" spans="1:7" x14ac:dyDescent="0.35">
      <c r="A724" t="s">
        <v>148</v>
      </c>
      <c r="B724" s="1">
        <v>93936831</v>
      </c>
      <c r="C724" t="s">
        <v>135</v>
      </c>
      <c r="D724" t="s">
        <v>305</v>
      </c>
      <c r="E724" s="2" t="str">
        <f>_xlfn.XLOOKUP(Cat_SKU[[#This Row],[Item]],CAT_MOD_v31[NÚMERO DE ARTÍCULO (SAP)],CAT_MOD_v31[RESUMIDO],"",0)</f>
        <v>Pulsar N250</v>
      </c>
      <c r="F724" s="2" t="str">
        <f>_xlfn.XLOOKUP(Cat_SKU[[#This Row],[Item]],CAT_MOD_v31[NÚMERO DE ARTÍCULO (SAP)],CAT_MOD_v31[COLOR],"",0)</f>
        <v>Negro</v>
      </c>
      <c r="G724" s="2">
        <f>_xlfn.XLOOKUP(Cat_SKU[[#This Row],[Item]],CAT_MOD_v31[NÚMERO DE ARTÍCULO (SAP)],CAT_MOD_v31[AÑO],"",0)</f>
        <v>2026</v>
      </c>
    </row>
    <row r="725" spans="1:7" x14ac:dyDescent="0.35">
      <c r="A725" t="s">
        <v>148</v>
      </c>
      <c r="B725" s="1">
        <v>94531156</v>
      </c>
      <c r="C725" t="s">
        <v>130</v>
      </c>
      <c r="D725" t="s">
        <v>263</v>
      </c>
      <c r="E725" s="2" t="str">
        <f>_xlfn.XLOOKUP(Cat_SKU[[#This Row],[Item]],CAT_MOD_v31[NÚMERO DE ARTÍCULO (SAP)],CAT_MOD_v31[RESUMIDO],"",0)</f>
        <v>Pulsar N125 FI-CBS</v>
      </c>
      <c r="F725" s="2" t="str">
        <f>_xlfn.XLOOKUP(Cat_SKU[[#This Row],[Item]],CAT_MOD_v31[NÚMERO DE ARTÍCULO (SAP)],CAT_MOD_v31[COLOR],"",0)</f>
        <v>Rojo</v>
      </c>
      <c r="G725" s="2">
        <f>_xlfn.XLOOKUP(Cat_SKU[[#This Row],[Item]],CAT_MOD_v31[NÚMERO DE ARTÍCULO (SAP)],CAT_MOD_v31[AÑO],"",0)</f>
        <v>2026</v>
      </c>
    </row>
    <row r="726" spans="1:7" x14ac:dyDescent="0.35">
      <c r="A726" t="s">
        <v>148</v>
      </c>
      <c r="B726" s="1">
        <v>94531217</v>
      </c>
      <c r="C726" t="s">
        <v>129</v>
      </c>
      <c r="D726" t="s">
        <v>262</v>
      </c>
      <c r="E726" s="2" t="str">
        <f>_xlfn.XLOOKUP(Cat_SKU[[#This Row],[Item]],CAT_MOD_v31[NÚMERO DE ARTÍCULO (SAP)],CAT_MOD_v31[RESUMIDO],"",0)</f>
        <v>Pulsar N125 FI-CBS</v>
      </c>
      <c r="F726" s="2" t="str">
        <f>_xlfn.XLOOKUP(Cat_SKU[[#This Row],[Item]],CAT_MOD_v31[NÚMERO DE ARTÍCULO (SAP)],CAT_MOD_v31[COLOR],"",0)</f>
        <v>Purpura</v>
      </c>
      <c r="G726" s="2">
        <f>_xlfn.XLOOKUP(Cat_SKU[[#This Row],[Item]],CAT_MOD_v31[NÚMERO DE ARTÍCULO (SAP)],CAT_MOD_v31[AÑO],"",0)</f>
        <v>2026</v>
      </c>
    </row>
    <row r="727" spans="1:7" x14ac:dyDescent="0.35">
      <c r="A727" t="s">
        <v>148</v>
      </c>
      <c r="B727" s="1">
        <v>94649075</v>
      </c>
      <c r="C727" t="s">
        <v>107</v>
      </c>
      <c r="D727" t="s">
        <v>310</v>
      </c>
      <c r="E727" s="2" t="str">
        <f>_xlfn.XLOOKUP(Cat_SKU[[#This Row],[Item]],CAT_MOD_v31[NÚMERO DE ARTÍCULO (SAP)],CAT_MOD_v31[RESUMIDO],"",0)</f>
        <v>Pulsar NS160 UG</v>
      </c>
      <c r="F727" s="2" t="str">
        <f>_xlfn.XLOOKUP(Cat_SKU[[#This Row],[Item]],CAT_MOD_v31[NÚMERO DE ARTÍCULO (SAP)],CAT_MOD_v31[COLOR],"",0)</f>
        <v>Gris</v>
      </c>
      <c r="G727" s="2">
        <f>_xlfn.XLOOKUP(Cat_SKU[[#This Row],[Item]],CAT_MOD_v31[NÚMERO DE ARTÍCULO (SAP)],CAT_MOD_v31[AÑO],"",0)</f>
        <v>2026</v>
      </c>
    </row>
    <row r="728" spans="1:7" x14ac:dyDescent="0.35">
      <c r="A728" t="s">
        <v>148</v>
      </c>
      <c r="B728" s="1">
        <v>94649093</v>
      </c>
      <c r="C728" t="s">
        <v>111</v>
      </c>
      <c r="D728" t="s">
        <v>311</v>
      </c>
      <c r="E728" s="2" t="str">
        <f>_xlfn.XLOOKUP(Cat_SKU[[#This Row],[Item]],CAT_MOD_v31[NÚMERO DE ARTÍCULO (SAP)],CAT_MOD_v31[RESUMIDO],"",0)</f>
        <v>Pulsar NS160 UG</v>
      </c>
      <c r="F728" s="2" t="str">
        <f>_xlfn.XLOOKUP(Cat_SKU[[#This Row],[Item]],CAT_MOD_v31[NÚMERO DE ARTÍCULO (SAP)],CAT_MOD_v31[COLOR],"",0)</f>
        <v>Perla</v>
      </c>
      <c r="G728" s="2">
        <f>_xlfn.XLOOKUP(Cat_SKU[[#This Row],[Item]],CAT_MOD_v31[NÚMERO DE ARTÍCULO (SAP)],CAT_MOD_v31[AÑO],"",0)</f>
        <v>2026</v>
      </c>
    </row>
    <row r="729" spans="1:7" x14ac:dyDescent="0.35">
      <c r="A729" t="s">
        <v>148</v>
      </c>
      <c r="B729" s="1">
        <v>94649118</v>
      </c>
      <c r="C729" t="s">
        <v>109</v>
      </c>
      <c r="D729" t="s">
        <v>312</v>
      </c>
      <c r="E729" s="2" t="str">
        <f>_xlfn.XLOOKUP(Cat_SKU[[#This Row],[Item]],CAT_MOD_v31[NÚMERO DE ARTÍCULO (SAP)],CAT_MOD_v31[RESUMIDO],"",0)</f>
        <v>Pulsar NS160 UG</v>
      </c>
      <c r="F729" s="2" t="str">
        <f>_xlfn.XLOOKUP(Cat_SKU[[#This Row],[Item]],CAT_MOD_v31[NÚMERO DE ARTÍCULO (SAP)],CAT_MOD_v31[COLOR],"",0)</f>
        <v>Negro</v>
      </c>
      <c r="G729" s="2">
        <f>_xlfn.XLOOKUP(Cat_SKU[[#This Row],[Item]],CAT_MOD_v31[NÚMERO DE ARTÍCULO (SAP)],CAT_MOD_v31[AÑO],"",0)</f>
        <v>2026</v>
      </c>
    </row>
    <row r="730" spans="1:7" x14ac:dyDescent="0.35">
      <c r="A730" t="s">
        <v>148</v>
      </c>
      <c r="B730" s="1">
        <v>95184973</v>
      </c>
      <c r="C730" t="s">
        <v>151</v>
      </c>
      <c r="D730" t="s">
        <v>313</v>
      </c>
      <c r="E730" s="2" t="str">
        <f>_xlfn.XLOOKUP(Cat_SKU[[#This Row],[Item]],CAT_MOD_v31[NÚMERO DE ARTÍCULO (SAP)],CAT_MOD_v31[RESUMIDO],"",0)</f>
        <v>Pulsar N250</v>
      </c>
      <c r="F730" s="2" t="str">
        <f>_xlfn.XLOOKUP(Cat_SKU[[#This Row],[Item]],CAT_MOD_v31[NÚMERO DE ARTÍCULO (SAP)],CAT_MOD_v31[COLOR],"",0)</f>
        <v>Azul</v>
      </c>
      <c r="G730" s="2">
        <f>_xlfn.XLOOKUP(Cat_SKU[[#This Row],[Item]],CAT_MOD_v31[NÚMERO DE ARTÍCULO (SAP)],CAT_MOD_v31[AÑO],"",0)</f>
        <v>2026</v>
      </c>
    </row>
    <row r="731" spans="1:7" x14ac:dyDescent="0.35">
      <c r="A731" t="s">
        <v>148</v>
      </c>
      <c r="B731" s="1">
        <v>95184991</v>
      </c>
      <c r="C731" t="s">
        <v>76</v>
      </c>
      <c r="D731" t="s">
        <v>288</v>
      </c>
      <c r="E731" s="2" t="str">
        <f>_xlfn.XLOOKUP(Cat_SKU[[#This Row],[Item]],CAT_MOD_v31[NÚMERO DE ARTÍCULO (SAP)],CAT_MOD_v31[RESUMIDO],"",0)</f>
        <v>Pulsar N250</v>
      </c>
      <c r="F731" s="2" t="str">
        <f>_xlfn.XLOOKUP(Cat_SKU[[#This Row],[Item]],CAT_MOD_v31[NÚMERO DE ARTÍCULO (SAP)],CAT_MOD_v31[COLOR],"",0)</f>
        <v>Amarillo</v>
      </c>
      <c r="G731" s="2">
        <f>_xlfn.XLOOKUP(Cat_SKU[[#This Row],[Item]],CAT_MOD_v31[NÚMERO DE ARTÍCULO (SAP)],CAT_MOD_v31[AÑO],"",0)</f>
        <v>2026</v>
      </c>
    </row>
    <row r="732" spans="1:7" x14ac:dyDescent="0.35">
      <c r="A732" t="s">
        <v>148</v>
      </c>
      <c r="B732" s="1">
        <v>95368043</v>
      </c>
      <c r="C732" t="s">
        <v>152</v>
      </c>
      <c r="D732" t="s">
        <v>308</v>
      </c>
      <c r="E732" s="2" t="str">
        <f>_xlfn.XLOOKUP(Cat_SKU[[#This Row],[Item]],CAT_MOD_v31[NÚMERO DE ARTÍCULO (SAP)],CAT_MOD_v31[RESUMIDO],"",0)</f>
        <v>Dominar 400</v>
      </c>
      <c r="F732" s="2" t="str">
        <f>_xlfn.XLOOKUP(Cat_SKU[[#This Row],[Item]],CAT_MOD_v31[NÚMERO DE ARTÍCULO (SAP)],CAT_MOD_v31[COLOR],"",0)</f>
        <v>Negro</v>
      </c>
      <c r="G732" s="2">
        <f>_xlfn.XLOOKUP(Cat_SKU[[#This Row],[Item]],CAT_MOD_v31[NÚMERO DE ARTÍCULO (SAP)],CAT_MOD_v31[AÑO],"",0)</f>
        <v>2026</v>
      </c>
    </row>
    <row r="733" spans="1:7" x14ac:dyDescent="0.35">
      <c r="A733" t="s">
        <v>148</v>
      </c>
      <c r="B733" s="1">
        <v>96160448</v>
      </c>
      <c r="C733" t="s">
        <v>150</v>
      </c>
      <c r="D733" t="s">
        <v>271</v>
      </c>
      <c r="E733" s="2" t="str">
        <f>_xlfn.XLOOKUP(Cat_SKU[[#This Row],[Item]],CAT_MOD_v31[NÚMERO DE ARTÍCULO (SAP)],CAT_MOD_v31[RESUMIDO],"",0)</f>
        <v>Pulsar N160</v>
      </c>
      <c r="F733" s="2" t="str">
        <f>_xlfn.XLOOKUP(Cat_SKU[[#This Row],[Item]],CAT_MOD_v31[NÚMERO DE ARTÍCULO (SAP)],CAT_MOD_v31[COLOR],"",0)</f>
        <v>Negro</v>
      </c>
      <c r="G733" s="2">
        <f>_xlfn.XLOOKUP(Cat_SKU[[#This Row],[Item]],CAT_MOD_v31[NÚMERO DE ARTÍCULO (SAP)],CAT_MOD_v31[AÑO],"",0)</f>
        <v>2026</v>
      </c>
    </row>
    <row r="734" spans="1:7" x14ac:dyDescent="0.35">
      <c r="A734" t="s">
        <v>148</v>
      </c>
      <c r="B734" s="1">
        <v>96160466</v>
      </c>
      <c r="C734" t="s">
        <v>153</v>
      </c>
      <c r="D734" t="s">
        <v>364</v>
      </c>
      <c r="E734" s="2" t="str">
        <f>_xlfn.XLOOKUP(Cat_SKU[[#This Row],[Item]],CAT_MOD_v31[NÚMERO DE ARTÍCULO (SAP)],CAT_MOD_v31[RESUMIDO],"",0)</f>
        <v>Dominar 400</v>
      </c>
      <c r="F734" s="2" t="str">
        <f>_xlfn.XLOOKUP(Cat_SKU[[#This Row],[Item]],CAT_MOD_v31[NÚMERO DE ARTÍCULO (SAP)],CAT_MOD_v31[COLOR],"",0)</f>
        <v>Rojo</v>
      </c>
      <c r="G734" s="2">
        <f>_xlfn.XLOOKUP(Cat_SKU[[#This Row],[Item]],CAT_MOD_v31[NÚMERO DE ARTÍCULO (SAP)],CAT_MOD_v31[AÑO],"",0)</f>
        <v>2026</v>
      </c>
    </row>
    <row r="735" spans="1:7" x14ac:dyDescent="0.35">
      <c r="A735" t="s">
        <v>148</v>
      </c>
      <c r="B735" s="1">
        <v>96160484</v>
      </c>
      <c r="C735" t="s">
        <v>154</v>
      </c>
      <c r="D735" t="s">
        <v>360</v>
      </c>
      <c r="E735" s="2" t="str">
        <f>_xlfn.XLOOKUP(Cat_SKU[[#This Row],[Item]],CAT_MOD_v31[NÚMERO DE ARTÍCULO (SAP)],CAT_MOD_v31[RESUMIDO],"",0)</f>
        <v>Pulsar N250 FI ABS</v>
      </c>
      <c r="F735" s="2" t="str">
        <f>_xlfn.XLOOKUP(Cat_SKU[[#This Row],[Item]],CAT_MOD_v31[NÚMERO DE ARTÍCULO (SAP)],CAT_MOD_v31[COLOR],"",0)</f>
        <v>Rojo</v>
      </c>
      <c r="G735" s="2">
        <f>_xlfn.XLOOKUP(Cat_SKU[[#This Row],[Item]],CAT_MOD_v31[NÚMERO DE ARTÍCULO (SAP)],CAT_MOD_v31[AÑO],"",0)</f>
        <v>2026</v>
      </c>
    </row>
    <row r="736" spans="1:7" x14ac:dyDescent="0.35">
      <c r="A736" t="s">
        <v>148</v>
      </c>
      <c r="B736" s="1">
        <v>96160509</v>
      </c>
      <c r="C736" t="s">
        <v>149</v>
      </c>
      <c r="D736" t="s">
        <v>363</v>
      </c>
      <c r="E736" s="2" t="str">
        <f>_xlfn.XLOOKUP(Cat_SKU[[#This Row],[Item]],CAT_MOD_v31[NÚMERO DE ARTÍCULO (SAP)],CAT_MOD_v31[RESUMIDO],"",0)</f>
        <v>Pulsar N160 FI ABS</v>
      </c>
      <c r="F736" s="2" t="str">
        <f>_xlfn.XLOOKUP(Cat_SKU[[#This Row],[Item]],CAT_MOD_v31[NÚMERO DE ARTÍCULO (SAP)],CAT_MOD_v31[COLOR],"",0)</f>
        <v>Negro</v>
      </c>
      <c r="G736" s="2">
        <f>_xlfn.XLOOKUP(Cat_SKU[[#This Row],[Item]],CAT_MOD_v31[NÚMERO DE ARTÍCULO (SAP)],CAT_MOD_v31[AÑO],"",0)</f>
        <v>2026</v>
      </c>
    </row>
    <row r="737" spans="1:7" x14ac:dyDescent="0.35">
      <c r="A737" t="s">
        <v>155</v>
      </c>
      <c r="B737" s="1">
        <v>1085323489</v>
      </c>
      <c r="C737" t="s">
        <v>776</v>
      </c>
      <c r="D737" t="s">
        <v>816</v>
      </c>
      <c r="E737" s="2" t="str">
        <f>_xlfn.XLOOKUP(Cat_SKU[[#This Row],[Item]],CAT_MOD_v31[NÚMERO DE ARTÍCULO (SAP)],CAT_MOD_v31[RESUMIDO],"",0)</f>
        <v>Pulsar NS200</v>
      </c>
      <c r="F737" s="2" t="str">
        <f>_xlfn.XLOOKUP(Cat_SKU[[#This Row],[Item]],CAT_MOD_v31[NÚMERO DE ARTÍCULO (SAP)],CAT_MOD_v31[COLOR],"",0)</f>
        <v>Negro</v>
      </c>
      <c r="G737" s="2">
        <f>_xlfn.XLOOKUP(Cat_SKU[[#This Row],[Item]],CAT_MOD_v31[NÚMERO DE ARTÍCULO (SAP)],CAT_MOD_v31[AÑO],"",0)</f>
        <v>2019</v>
      </c>
    </row>
    <row r="738" spans="1:7" x14ac:dyDescent="0.35">
      <c r="A738" t="s">
        <v>155</v>
      </c>
      <c r="B738" s="1">
        <v>1085323519</v>
      </c>
      <c r="C738" t="s">
        <v>780</v>
      </c>
      <c r="D738" t="s">
        <v>835</v>
      </c>
      <c r="E738" s="2" t="str">
        <f>_xlfn.XLOOKUP(Cat_SKU[[#This Row],[Item]],CAT_MOD_v31[NÚMERO DE ARTÍCULO (SAP)],CAT_MOD_v31[RESUMIDO],"",0)</f>
        <v>Pulsar LS125</v>
      </c>
      <c r="F738" s="2" t="str">
        <f>_xlfn.XLOOKUP(Cat_SKU[[#This Row],[Item]],CAT_MOD_v31[NÚMERO DE ARTÍCULO (SAP)],CAT_MOD_v31[COLOR],"",0)</f>
        <v>Amarillo</v>
      </c>
      <c r="G738" s="2">
        <f>_xlfn.XLOOKUP(Cat_SKU[[#This Row],[Item]],CAT_MOD_v31[NÚMERO DE ARTÍCULO (SAP)],CAT_MOD_v31[AÑO],"",0)</f>
        <v>2019</v>
      </c>
    </row>
    <row r="739" spans="1:7" x14ac:dyDescent="0.35">
      <c r="A739" t="s">
        <v>155</v>
      </c>
      <c r="B739" s="1">
        <v>1085324388</v>
      </c>
      <c r="C739" t="s">
        <v>775</v>
      </c>
      <c r="D739" t="s">
        <v>418</v>
      </c>
      <c r="E739" s="2" t="str">
        <f>_xlfn.XLOOKUP(Cat_SKU[[#This Row],[Item]],CAT_MOD_v31[NÚMERO DE ARTÍCULO (SAP)],CAT_MOD_v31[RESUMIDO],"",0)</f>
        <v>Avenger Cruise 220</v>
      </c>
      <c r="F739" s="2" t="str">
        <f>_xlfn.XLOOKUP(Cat_SKU[[#This Row],[Item]],CAT_MOD_v31[NÚMERO DE ARTÍCULO (SAP)],CAT_MOD_v31[COLOR],"",0)</f>
        <v>Negro</v>
      </c>
      <c r="G739" s="2">
        <f>_xlfn.XLOOKUP(Cat_SKU[[#This Row],[Item]],CAT_MOD_v31[NÚMERO DE ARTÍCULO (SAP)],CAT_MOD_v31[AÑO],"",0)</f>
        <v>2021</v>
      </c>
    </row>
    <row r="740" spans="1:7" x14ac:dyDescent="0.35">
      <c r="A740" t="s">
        <v>155</v>
      </c>
      <c r="B740" s="1">
        <v>1085566683</v>
      </c>
      <c r="C740" t="s">
        <v>775</v>
      </c>
      <c r="D740" t="s">
        <v>821</v>
      </c>
      <c r="E740" s="2" t="str">
        <f>_xlfn.XLOOKUP(Cat_SKU[[#This Row],[Item]],CAT_MOD_v31[NÚMERO DE ARTÍCULO (SAP)],CAT_MOD_v31[RESUMIDO],"",0)</f>
        <v>Avenger Cruise 220</v>
      </c>
      <c r="F740" s="2" t="str">
        <f>_xlfn.XLOOKUP(Cat_SKU[[#This Row],[Item]],CAT_MOD_v31[NÚMERO DE ARTÍCULO (SAP)],CAT_MOD_v31[COLOR],"",0)</f>
        <v>Blanco</v>
      </c>
      <c r="G740" s="2">
        <f>_xlfn.XLOOKUP(Cat_SKU[[#This Row],[Item]],CAT_MOD_v31[NÚMERO DE ARTÍCULO (SAP)],CAT_MOD_v31[AÑO],"",0)</f>
        <v>2021</v>
      </c>
    </row>
    <row r="741" spans="1:7" x14ac:dyDescent="0.35">
      <c r="A741" t="s">
        <v>155</v>
      </c>
      <c r="B741" s="1">
        <v>1086407309</v>
      </c>
      <c r="C741" t="s">
        <v>783</v>
      </c>
      <c r="D741" t="s">
        <v>828</v>
      </c>
      <c r="E741" s="2" t="str">
        <f>_xlfn.XLOOKUP(Cat_SKU[[#This Row],[Item]],CAT_MOD_v31[NÚMERO DE ARTÍCULO (SAP)],CAT_MOD_v31[RESUMIDO],"",0)</f>
        <v>Dominar 400</v>
      </c>
      <c r="F741" s="2" t="str">
        <f>_xlfn.XLOOKUP(Cat_SKU[[#This Row],[Item]],CAT_MOD_v31[NÚMERO DE ARTÍCULO (SAP)],CAT_MOD_v31[COLOR],"",0)</f>
        <v>Negro</v>
      </c>
      <c r="G741" s="2">
        <f>_xlfn.XLOOKUP(Cat_SKU[[#This Row],[Item]],CAT_MOD_v31[NÚMERO DE ARTÍCULO (SAP)],CAT_MOD_v31[AÑO],"",0)</f>
        <v>2019</v>
      </c>
    </row>
    <row r="742" spans="1:7" x14ac:dyDescent="0.35">
      <c r="A742" t="s">
        <v>155</v>
      </c>
      <c r="B742" s="1">
        <v>1086823418</v>
      </c>
      <c r="C742" t="s">
        <v>783</v>
      </c>
      <c r="D742" t="s">
        <v>830</v>
      </c>
      <c r="E742" s="2" t="str">
        <f>_xlfn.XLOOKUP(Cat_SKU[[#This Row],[Item]],CAT_MOD_v31[NÚMERO DE ARTÍCULO (SAP)],CAT_MOD_v31[RESUMIDO],"",0)</f>
        <v>Dominar 400</v>
      </c>
      <c r="F742" s="2" t="str">
        <f>_xlfn.XLOOKUP(Cat_SKU[[#This Row],[Item]],CAT_MOD_v31[NÚMERO DE ARTÍCULO (SAP)],CAT_MOD_v31[COLOR],"",0)</f>
        <v>Verde</v>
      </c>
      <c r="G742" s="2">
        <f>_xlfn.XLOOKUP(Cat_SKU[[#This Row],[Item]],CAT_MOD_v31[NÚMERO DE ARTÍCULO (SAP)],CAT_MOD_v31[AÑO],"",0)</f>
        <v>2019</v>
      </c>
    </row>
    <row r="743" spans="1:7" x14ac:dyDescent="0.35">
      <c r="A743" t="s">
        <v>155</v>
      </c>
      <c r="B743" s="1">
        <v>1086825224</v>
      </c>
      <c r="C743" t="s">
        <v>782</v>
      </c>
      <c r="D743" t="s">
        <v>853</v>
      </c>
      <c r="E743" s="2" t="str">
        <f>_xlfn.XLOOKUP(Cat_SKU[[#This Row],[Item]],CAT_MOD_v31[NÚMERO DE ARTÍCULO (SAP)],CAT_MOD_v31[RESUMIDO],"",0)</f>
        <v>Pulsar RS200</v>
      </c>
      <c r="F743" s="2" t="str">
        <f>_xlfn.XLOOKUP(Cat_SKU[[#This Row],[Item]],CAT_MOD_v31[NÚMERO DE ARTÍCULO (SAP)],CAT_MOD_v31[COLOR],"",0)</f>
        <v>Negro</v>
      </c>
      <c r="G743" s="2">
        <f>_xlfn.XLOOKUP(Cat_SKU[[#This Row],[Item]],CAT_MOD_v31[NÚMERO DE ARTÍCULO (SAP)],CAT_MOD_v31[AÑO],"",0)</f>
        <v>2019</v>
      </c>
    </row>
    <row r="744" spans="1:7" x14ac:dyDescent="0.35">
      <c r="A744" t="s">
        <v>155</v>
      </c>
      <c r="B744" s="1">
        <v>1086838083</v>
      </c>
      <c r="C744" t="s">
        <v>776</v>
      </c>
      <c r="D744" t="s">
        <v>846</v>
      </c>
      <c r="E744" s="2" t="str">
        <f>_xlfn.XLOOKUP(Cat_SKU[[#This Row],[Item]],CAT_MOD_v31[NÚMERO DE ARTÍCULO (SAP)],CAT_MOD_v31[RESUMIDO],"",0)</f>
        <v>Pulsar 200 FI</v>
      </c>
      <c r="F744" s="2" t="str">
        <f>_xlfn.XLOOKUP(Cat_SKU[[#This Row],[Item]],CAT_MOD_v31[NÚMERO DE ARTÍCULO (SAP)],CAT_MOD_v31[COLOR],"",0)</f>
        <v>Negro</v>
      </c>
      <c r="G744" s="2">
        <f>_xlfn.XLOOKUP(Cat_SKU[[#This Row],[Item]],CAT_MOD_v31[NÚMERO DE ARTÍCULO (SAP)],CAT_MOD_v31[AÑO],"",0)</f>
        <v>2019</v>
      </c>
    </row>
    <row r="745" spans="1:7" x14ac:dyDescent="0.35">
      <c r="A745" t="s">
        <v>155</v>
      </c>
      <c r="B745" s="1">
        <v>1086845454</v>
      </c>
      <c r="C745" t="s">
        <v>776</v>
      </c>
      <c r="D745" t="s">
        <v>848</v>
      </c>
      <c r="E745" s="2" t="str">
        <f>_xlfn.XLOOKUP(Cat_SKU[[#This Row],[Item]],CAT_MOD_v31[NÚMERO DE ARTÍCULO (SAP)],CAT_MOD_v31[RESUMIDO],"",0)</f>
        <v>Pulsar NS200</v>
      </c>
      <c r="F745" s="2" t="str">
        <f>_xlfn.XLOOKUP(Cat_SKU[[#This Row],[Item]],CAT_MOD_v31[NÚMERO DE ARTÍCULO (SAP)],CAT_MOD_v31[COLOR],"",0)</f>
        <v>Blanco</v>
      </c>
      <c r="G745" s="2">
        <f>_xlfn.XLOOKUP(Cat_SKU[[#This Row],[Item]],CAT_MOD_v31[NÚMERO DE ARTÍCULO (SAP)],CAT_MOD_v31[AÑO],"",0)</f>
        <v>2019</v>
      </c>
    </row>
    <row r="746" spans="1:7" x14ac:dyDescent="0.35">
      <c r="A746" t="s">
        <v>155</v>
      </c>
      <c r="B746" s="1">
        <v>1086845501</v>
      </c>
      <c r="C746" t="s">
        <v>776</v>
      </c>
      <c r="D746" t="s">
        <v>851</v>
      </c>
      <c r="E746" s="2" t="str">
        <f>_xlfn.XLOOKUP(Cat_SKU[[#This Row],[Item]],CAT_MOD_v31[NÚMERO DE ARTÍCULO (SAP)],CAT_MOD_v31[RESUMIDO],"",0)</f>
        <v>Pulsar NS200</v>
      </c>
      <c r="F746" s="2" t="str">
        <f>_xlfn.XLOOKUP(Cat_SKU[[#This Row],[Item]],CAT_MOD_v31[NÚMERO DE ARTÍCULO (SAP)],CAT_MOD_v31[COLOR],"",0)</f>
        <v>Rojo</v>
      </c>
      <c r="G746" s="2">
        <f>_xlfn.XLOOKUP(Cat_SKU[[#This Row],[Item]],CAT_MOD_v31[NÚMERO DE ARTÍCULO (SAP)],CAT_MOD_v31[AÑO],"",0)</f>
        <v>2019</v>
      </c>
    </row>
    <row r="747" spans="1:7" x14ac:dyDescent="0.35">
      <c r="A747" t="s">
        <v>155</v>
      </c>
      <c r="B747" s="1">
        <v>1086941241</v>
      </c>
      <c r="C747" t="s">
        <v>775</v>
      </c>
      <c r="D747" t="s">
        <v>821</v>
      </c>
      <c r="E747" s="2" t="str">
        <f>_xlfn.XLOOKUP(Cat_SKU[[#This Row],[Item]],CAT_MOD_v31[NÚMERO DE ARTÍCULO (SAP)],CAT_MOD_v31[RESUMIDO],"",0)</f>
        <v>Avenger Cruise 220</v>
      </c>
      <c r="F747" s="2" t="str">
        <f>_xlfn.XLOOKUP(Cat_SKU[[#This Row],[Item]],CAT_MOD_v31[NÚMERO DE ARTÍCULO (SAP)],CAT_MOD_v31[COLOR],"",0)</f>
        <v>Blanco</v>
      </c>
      <c r="G747" s="2">
        <f>_xlfn.XLOOKUP(Cat_SKU[[#This Row],[Item]],CAT_MOD_v31[NÚMERO DE ARTÍCULO (SAP)],CAT_MOD_v31[AÑO],"",0)</f>
        <v>2021</v>
      </c>
    </row>
    <row r="748" spans="1:7" x14ac:dyDescent="0.35">
      <c r="A748" t="s">
        <v>155</v>
      </c>
      <c r="B748" s="1">
        <v>1086946765</v>
      </c>
      <c r="C748" t="s">
        <v>780</v>
      </c>
      <c r="D748" t="s">
        <v>835</v>
      </c>
      <c r="E748" s="2" t="str">
        <f>_xlfn.XLOOKUP(Cat_SKU[[#This Row],[Item]],CAT_MOD_v31[NÚMERO DE ARTÍCULO (SAP)],CAT_MOD_v31[RESUMIDO],"",0)</f>
        <v>Pulsar LS125</v>
      </c>
      <c r="F748" s="2" t="str">
        <f>_xlfn.XLOOKUP(Cat_SKU[[#This Row],[Item]],CAT_MOD_v31[NÚMERO DE ARTÍCULO (SAP)],CAT_MOD_v31[COLOR],"",0)</f>
        <v>Amarillo</v>
      </c>
      <c r="G748" s="2">
        <f>_xlfn.XLOOKUP(Cat_SKU[[#This Row],[Item]],CAT_MOD_v31[NÚMERO DE ARTÍCULO (SAP)],CAT_MOD_v31[AÑO],"",0)</f>
        <v>2019</v>
      </c>
    </row>
    <row r="749" spans="1:7" x14ac:dyDescent="0.35">
      <c r="A749" t="s">
        <v>155</v>
      </c>
      <c r="B749" s="1">
        <v>1086946781</v>
      </c>
      <c r="C749" t="s">
        <v>818</v>
      </c>
      <c r="D749" t="s">
        <v>833</v>
      </c>
      <c r="E749" s="2" t="str">
        <f>_xlfn.XLOOKUP(Cat_SKU[[#This Row],[Item]],CAT_MOD_v31[NÚMERO DE ARTÍCULO (SAP)],CAT_MOD_v31[RESUMIDO],"",0)</f>
        <v>Platina 125</v>
      </c>
      <c r="F749" s="2" t="str">
        <f>_xlfn.XLOOKUP(Cat_SKU[[#This Row],[Item]],CAT_MOD_v31[NÚMERO DE ARTÍCULO (SAP)],CAT_MOD_v31[COLOR],"",0)</f>
        <v>Negro</v>
      </c>
      <c r="G749" s="2">
        <f>_xlfn.XLOOKUP(Cat_SKU[[#This Row],[Item]],CAT_MOD_v31[NÚMERO DE ARTÍCULO (SAP)],CAT_MOD_v31[AÑO],"",0)</f>
        <v>2019</v>
      </c>
    </row>
    <row r="750" spans="1:7" x14ac:dyDescent="0.35">
      <c r="A750" t="s">
        <v>155</v>
      </c>
      <c r="B750" s="1">
        <v>1086982532</v>
      </c>
      <c r="C750" t="s">
        <v>781</v>
      </c>
      <c r="D750" t="s">
        <v>822</v>
      </c>
      <c r="E750" s="2" t="str">
        <f>_xlfn.XLOOKUP(Cat_SKU[[#This Row],[Item]],CAT_MOD_v31[NÚMERO DE ARTÍCULO (SAP)],CAT_MOD_v31[RESUMIDO],"",0)</f>
        <v>Boxer BM150</v>
      </c>
      <c r="F750" s="2" t="str">
        <f>_xlfn.XLOOKUP(Cat_SKU[[#This Row],[Item]],CAT_MOD_v31[NÚMERO DE ARTÍCULO (SAP)],CAT_MOD_v31[COLOR],"",0)</f>
        <v>Rojo</v>
      </c>
      <c r="G750" s="2">
        <f>_xlfn.XLOOKUP(Cat_SKU[[#This Row],[Item]],CAT_MOD_v31[NÚMERO DE ARTÍCULO (SAP)],CAT_MOD_v31[AÑO],"",0)</f>
        <v>2019</v>
      </c>
    </row>
    <row r="751" spans="1:7" x14ac:dyDescent="0.35">
      <c r="A751" t="s">
        <v>155</v>
      </c>
      <c r="B751" s="1">
        <v>1090796212</v>
      </c>
      <c r="C751" t="s">
        <v>777</v>
      </c>
      <c r="D751" t="s">
        <v>837</v>
      </c>
      <c r="E751" s="2" t="str">
        <f>_xlfn.XLOOKUP(Cat_SKU[[#This Row],[Item]],CAT_MOD_v31[NÚMERO DE ARTÍCULO (SAP)],CAT_MOD_v31[RESUMIDO],"",0)</f>
        <v>Pulsar NS160</v>
      </c>
      <c r="F751" s="2" t="str">
        <f>_xlfn.XLOOKUP(Cat_SKU[[#This Row],[Item]],CAT_MOD_v31[NÚMERO DE ARTÍCULO (SAP)],CAT_MOD_v31[COLOR],"",0)</f>
        <v>Negro</v>
      </c>
      <c r="G751" s="2">
        <f>_xlfn.XLOOKUP(Cat_SKU[[#This Row],[Item]],CAT_MOD_v31[NÚMERO DE ARTÍCULO (SAP)],CAT_MOD_v31[AÑO],"",0)</f>
        <v>2019</v>
      </c>
    </row>
    <row r="752" spans="1:7" x14ac:dyDescent="0.35">
      <c r="A752" t="s">
        <v>155</v>
      </c>
      <c r="B752" s="1">
        <v>1090798525</v>
      </c>
      <c r="C752" t="s">
        <v>777</v>
      </c>
      <c r="D752" t="s">
        <v>839</v>
      </c>
      <c r="E752" s="2" t="str">
        <f>_xlfn.XLOOKUP(Cat_SKU[[#This Row],[Item]],CAT_MOD_v31[NÚMERO DE ARTÍCULO (SAP)],CAT_MOD_v31[RESUMIDO],"",0)</f>
        <v>Pulsar NS160</v>
      </c>
      <c r="F752" s="2" t="str">
        <f>_xlfn.XLOOKUP(Cat_SKU[[#This Row],[Item]],CAT_MOD_v31[NÚMERO DE ARTÍCULO (SAP)],CAT_MOD_v31[COLOR],"",0)</f>
        <v>Rojo</v>
      </c>
      <c r="G752" s="2">
        <f>_xlfn.XLOOKUP(Cat_SKU[[#This Row],[Item]],CAT_MOD_v31[NÚMERO DE ARTÍCULO (SAP)],CAT_MOD_v31[AÑO],"",0)</f>
        <v>2019</v>
      </c>
    </row>
    <row r="753" spans="1:7" x14ac:dyDescent="0.35">
      <c r="A753" t="s">
        <v>155</v>
      </c>
      <c r="B753" s="1">
        <v>1090798657</v>
      </c>
      <c r="C753" t="s">
        <v>780</v>
      </c>
      <c r="D753" t="s">
        <v>836</v>
      </c>
      <c r="E753" s="2" t="str">
        <f>_xlfn.XLOOKUP(Cat_SKU[[#This Row],[Item]],CAT_MOD_v31[NÚMERO DE ARTÍCULO (SAP)],CAT_MOD_v31[RESUMIDO],"",0)</f>
        <v>Pulsar LS125</v>
      </c>
      <c r="F753" s="2" t="str">
        <f>_xlfn.XLOOKUP(Cat_SKU[[#This Row],[Item]],CAT_MOD_v31[NÚMERO DE ARTÍCULO (SAP)],CAT_MOD_v31[COLOR],"",0)</f>
        <v>Negro</v>
      </c>
      <c r="G753" s="2">
        <f>_xlfn.XLOOKUP(Cat_SKU[[#This Row],[Item]],CAT_MOD_v31[NÚMERO DE ARTÍCULO (SAP)],CAT_MOD_v31[AÑO],"",0)</f>
        <v>2019</v>
      </c>
    </row>
    <row r="754" spans="1:7" x14ac:dyDescent="0.35">
      <c r="A754" t="s">
        <v>155</v>
      </c>
      <c r="B754" s="1">
        <v>1097992777</v>
      </c>
      <c r="C754" t="s">
        <v>776</v>
      </c>
      <c r="D754" t="s">
        <v>744</v>
      </c>
      <c r="E754" s="2" t="str">
        <f>_xlfn.XLOOKUP(Cat_SKU[[#This Row],[Item]],CAT_MOD_v31[NÚMERO DE ARTÍCULO (SAP)],CAT_MOD_v31[RESUMIDO],"",0)</f>
        <v>Pulsar NS200</v>
      </c>
      <c r="F754" s="2" t="str">
        <f>_xlfn.XLOOKUP(Cat_SKU[[#This Row],[Item]],CAT_MOD_v31[NÚMERO DE ARTÍCULO (SAP)],CAT_MOD_v31[COLOR],"",0)</f>
        <v>Negro</v>
      </c>
      <c r="G754" s="2">
        <f>_xlfn.XLOOKUP(Cat_SKU[[#This Row],[Item]],CAT_MOD_v31[NÚMERO DE ARTÍCULO (SAP)],CAT_MOD_v31[AÑO],"",0)</f>
        <v>2021</v>
      </c>
    </row>
    <row r="755" spans="1:7" x14ac:dyDescent="0.35">
      <c r="A755" t="s">
        <v>155</v>
      </c>
      <c r="B755" s="1">
        <v>1097992785</v>
      </c>
      <c r="C755" t="s">
        <v>776</v>
      </c>
      <c r="D755" t="s">
        <v>849</v>
      </c>
      <c r="E755" s="2" t="str">
        <f>_xlfn.XLOOKUP(Cat_SKU[[#This Row],[Item]],CAT_MOD_v31[NÚMERO DE ARTÍCULO (SAP)],CAT_MOD_v31[RESUMIDO],"",0)</f>
        <v>Pulsar NS200</v>
      </c>
      <c r="F755" s="2" t="str">
        <f>_xlfn.XLOOKUP(Cat_SKU[[#This Row],[Item]],CAT_MOD_v31[NÚMERO DE ARTÍCULO (SAP)],CAT_MOD_v31[COLOR],"",0)</f>
        <v>Blanco</v>
      </c>
      <c r="G755" s="2">
        <f>_xlfn.XLOOKUP(Cat_SKU[[#This Row],[Item]],CAT_MOD_v31[NÚMERO DE ARTÍCULO (SAP)],CAT_MOD_v31[AÑO],"",0)</f>
        <v>2021</v>
      </c>
    </row>
    <row r="756" spans="1:7" x14ac:dyDescent="0.35">
      <c r="A756" t="s">
        <v>155</v>
      </c>
      <c r="B756" s="1">
        <v>1097992793</v>
      </c>
      <c r="C756" t="s">
        <v>783</v>
      </c>
      <c r="D756" t="s">
        <v>829</v>
      </c>
      <c r="E756" s="2" t="str">
        <f>_xlfn.XLOOKUP(Cat_SKU[[#This Row],[Item]],CAT_MOD_v31[NÚMERO DE ARTÍCULO (SAP)],CAT_MOD_v31[RESUMIDO],"",0)</f>
        <v>Dominar 400</v>
      </c>
      <c r="F756" s="2" t="str">
        <f>_xlfn.XLOOKUP(Cat_SKU[[#This Row],[Item]],CAT_MOD_v31[NÚMERO DE ARTÍCULO (SAP)],CAT_MOD_v31[COLOR],"",0)</f>
        <v>Negro</v>
      </c>
      <c r="G756" s="2">
        <f>_xlfn.XLOOKUP(Cat_SKU[[#This Row],[Item]],CAT_MOD_v31[NÚMERO DE ARTÍCULO (SAP)],CAT_MOD_v31[AÑO],"",0)</f>
        <v>2021</v>
      </c>
    </row>
    <row r="757" spans="1:7" x14ac:dyDescent="0.35">
      <c r="A757" t="s">
        <v>155</v>
      </c>
      <c r="B757" s="1">
        <v>1097992815</v>
      </c>
      <c r="C757" t="s">
        <v>783</v>
      </c>
      <c r="D757" t="s">
        <v>831</v>
      </c>
      <c r="E757" s="2" t="str">
        <f>_xlfn.XLOOKUP(Cat_SKU[[#This Row],[Item]],CAT_MOD_v31[NÚMERO DE ARTÍCULO (SAP)],CAT_MOD_v31[RESUMIDO],"",0)</f>
        <v>Dominar 400</v>
      </c>
      <c r="F757" s="2" t="str">
        <f>_xlfn.XLOOKUP(Cat_SKU[[#This Row],[Item]],CAT_MOD_v31[NÚMERO DE ARTÍCULO (SAP)],CAT_MOD_v31[COLOR],"",0)</f>
        <v>Verde</v>
      </c>
      <c r="G757" s="2">
        <f>_xlfn.XLOOKUP(Cat_SKU[[#This Row],[Item]],CAT_MOD_v31[NÚMERO DE ARTÍCULO (SAP)],CAT_MOD_v31[AÑO],"",0)</f>
        <v>2021</v>
      </c>
    </row>
    <row r="758" spans="1:7" x14ac:dyDescent="0.35">
      <c r="A758" t="s">
        <v>155</v>
      </c>
      <c r="B758" s="1">
        <v>1097993421</v>
      </c>
      <c r="C758" t="s">
        <v>776</v>
      </c>
      <c r="D758" t="s">
        <v>844</v>
      </c>
      <c r="E758" s="2" t="str">
        <f>_xlfn.XLOOKUP(Cat_SKU[[#This Row],[Item]],CAT_MOD_v31[NÚMERO DE ARTÍCULO (SAP)],CAT_MOD_v31[RESUMIDO],"",0)</f>
        <v>Pulsar 200 FI</v>
      </c>
      <c r="F758" s="2" t="str">
        <f>_xlfn.XLOOKUP(Cat_SKU[[#This Row],[Item]],CAT_MOD_v31[NÚMERO DE ARTÍCULO (SAP)],CAT_MOD_v31[COLOR],"",0)</f>
        <v>Amarillo</v>
      </c>
      <c r="G758" s="2">
        <f>_xlfn.XLOOKUP(Cat_SKU[[#This Row],[Item]],CAT_MOD_v31[NÚMERO DE ARTÍCULO (SAP)],CAT_MOD_v31[AÑO],"",0)</f>
        <v>2021</v>
      </c>
    </row>
    <row r="759" spans="1:7" x14ac:dyDescent="0.35">
      <c r="A759" t="s">
        <v>155</v>
      </c>
      <c r="B759" s="1">
        <v>1097993439</v>
      </c>
      <c r="C759" t="s">
        <v>776</v>
      </c>
      <c r="D759" t="s">
        <v>847</v>
      </c>
      <c r="E759" s="2" t="str">
        <f>_xlfn.XLOOKUP(Cat_SKU[[#This Row],[Item]],CAT_MOD_v31[NÚMERO DE ARTÍCULO (SAP)],CAT_MOD_v31[RESUMIDO],"",0)</f>
        <v>Pulsar 200 FI</v>
      </c>
      <c r="F759" s="2" t="str">
        <f>_xlfn.XLOOKUP(Cat_SKU[[#This Row],[Item]],CAT_MOD_v31[NÚMERO DE ARTÍCULO (SAP)],CAT_MOD_v31[COLOR],"",0)</f>
        <v>Negro</v>
      </c>
      <c r="G759" s="2">
        <f>_xlfn.XLOOKUP(Cat_SKU[[#This Row],[Item]],CAT_MOD_v31[NÚMERO DE ARTÍCULO (SAP)],CAT_MOD_v31[AÑO],"",0)</f>
        <v>2021</v>
      </c>
    </row>
    <row r="760" spans="1:7" x14ac:dyDescent="0.35">
      <c r="A760" t="s">
        <v>155</v>
      </c>
      <c r="B760" s="1">
        <v>1097993447</v>
      </c>
      <c r="C760" t="s">
        <v>777</v>
      </c>
      <c r="D760" t="s">
        <v>841</v>
      </c>
      <c r="E760" s="2" t="str">
        <f>_xlfn.XLOOKUP(Cat_SKU[[#This Row],[Item]],CAT_MOD_v31[NÚMERO DE ARTÍCULO (SAP)],CAT_MOD_v31[RESUMIDO],"",0)</f>
        <v>Pulsar NS160</v>
      </c>
      <c r="F760" s="2" t="str">
        <f>_xlfn.XLOOKUP(Cat_SKU[[#This Row],[Item]],CAT_MOD_v31[NÚMERO DE ARTÍCULO (SAP)],CAT_MOD_v31[COLOR],"",0)</f>
        <v>Azul</v>
      </c>
      <c r="G760" s="2">
        <f>_xlfn.XLOOKUP(Cat_SKU[[#This Row],[Item]],CAT_MOD_v31[NÚMERO DE ARTÍCULO (SAP)],CAT_MOD_v31[AÑO],"",0)</f>
        <v>2021</v>
      </c>
    </row>
    <row r="761" spans="1:7" x14ac:dyDescent="0.35">
      <c r="A761" t="s">
        <v>155</v>
      </c>
      <c r="B761" s="1">
        <v>1097993455</v>
      </c>
      <c r="C761" t="s">
        <v>777</v>
      </c>
      <c r="D761" t="s">
        <v>838</v>
      </c>
      <c r="E761" s="2" t="str">
        <f>_xlfn.XLOOKUP(Cat_SKU[[#This Row],[Item]],CAT_MOD_v31[NÚMERO DE ARTÍCULO (SAP)],CAT_MOD_v31[RESUMIDO],"",0)</f>
        <v>Pulsar NS160</v>
      </c>
      <c r="F761" s="2" t="str">
        <f>_xlfn.XLOOKUP(Cat_SKU[[#This Row],[Item]],CAT_MOD_v31[NÚMERO DE ARTÍCULO (SAP)],CAT_MOD_v31[COLOR],"",0)</f>
        <v>Negro</v>
      </c>
      <c r="G761" s="2">
        <f>_xlfn.XLOOKUP(Cat_SKU[[#This Row],[Item]],CAT_MOD_v31[NÚMERO DE ARTÍCULO (SAP)],CAT_MOD_v31[AÑO],"",0)</f>
        <v>2021</v>
      </c>
    </row>
    <row r="762" spans="1:7" x14ac:dyDescent="0.35">
      <c r="A762" t="s">
        <v>155</v>
      </c>
      <c r="B762" s="1">
        <v>1101702720</v>
      </c>
      <c r="C762" t="s">
        <v>780</v>
      </c>
      <c r="D762" t="s">
        <v>399</v>
      </c>
      <c r="E762" s="2" t="str">
        <f>_xlfn.XLOOKUP(Cat_SKU[[#This Row],[Item]],CAT_MOD_v31[NÚMERO DE ARTÍCULO (SAP)],CAT_MOD_v31[RESUMIDO],"",0)</f>
        <v>Pulsar LS125</v>
      </c>
      <c r="F762" s="2" t="str">
        <f>_xlfn.XLOOKUP(Cat_SKU[[#This Row],[Item]],CAT_MOD_v31[NÚMERO DE ARTÍCULO (SAP)],CAT_MOD_v31[COLOR],"",0)</f>
        <v>Negro</v>
      </c>
      <c r="G762" s="2">
        <f>_xlfn.XLOOKUP(Cat_SKU[[#This Row],[Item]],CAT_MOD_v31[NÚMERO DE ARTÍCULO (SAP)],CAT_MOD_v31[AÑO],"",0)</f>
        <v>2021</v>
      </c>
    </row>
    <row r="763" spans="1:7" x14ac:dyDescent="0.35">
      <c r="A763" t="s">
        <v>155</v>
      </c>
      <c r="B763" s="1">
        <v>1101702801</v>
      </c>
      <c r="C763" t="s">
        <v>780</v>
      </c>
      <c r="D763" t="s">
        <v>397</v>
      </c>
      <c r="E763" s="2" t="str">
        <f>_xlfn.XLOOKUP(Cat_SKU[[#This Row],[Item]],CAT_MOD_v31[NÚMERO DE ARTÍCULO (SAP)],CAT_MOD_v31[RESUMIDO],"",0)</f>
        <v>Pulsar LS125</v>
      </c>
      <c r="F763" s="2" t="str">
        <f>_xlfn.XLOOKUP(Cat_SKU[[#This Row],[Item]],CAT_MOD_v31[NÚMERO DE ARTÍCULO (SAP)],CAT_MOD_v31[COLOR],"",0)</f>
        <v>Amarillo</v>
      </c>
      <c r="G763" s="2">
        <f>_xlfn.XLOOKUP(Cat_SKU[[#This Row],[Item]],CAT_MOD_v31[NÚMERO DE ARTÍCULO (SAP)],CAT_MOD_v31[AÑO],"",0)</f>
        <v>2021</v>
      </c>
    </row>
    <row r="764" spans="1:7" x14ac:dyDescent="0.35">
      <c r="A764" t="s">
        <v>155</v>
      </c>
      <c r="B764" s="1">
        <v>1101702819</v>
      </c>
      <c r="C764" t="s">
        <v>775</v>
      </c>
      <c r="D764" t="s">
        <v>418</v>
      </c>
      <c r="E764" s="2" t="str">
        <f>_xlfn.XLOOKUP(Cat_SKU[[#This Row],[Item]],CAT_MOD_v31[NÚMERO DE ARTÍCULO (SAP)],CAT_MOD_v31[RESUMIDO],"",0)</f>
        <v>Avenger Cruise 220</v>
      </c>
      <c r="F764" s="2" t="str">
        <f>_xlfn.XLOOKUP(Cat_SKU[[#This Row],[Item]],CAT_MOD_v31[NÚMERO DE ARTÍCULO (SAP)],CAT_MOD_v31[COLOR],"",0)</f>
        <v>Negro</v>
      </c>
      <c r="G764" s="2">
        <f>_xlfn.XLOOKUP(Cat_SKU[[#This Row],[Item]],CAT_MOD_v31[NÚMERO DE ARTÍCULO (SAP)],CAT_MOD_v31[AÑO],"",0)</f>
        <v>2021</v>
      </c>
    </row>
    <row r="765" spans="1:7" x14ac:dyDescent="0.35">
      <c r="A765" t="s">
        <v>155</v>
      </c>
      <c r="B765" s="1">
        <v>1101703122</v>
      </c>
      <c r="C765" t="s">
        <v>784</v>
      </c>
      <c r="D765" t="s">
        <v>824</v>
      </c>
      <c r="E765" s="2" t="str">
        <f>_xlfn.XLOOKUP(Cat_SKU[[#This Row],[Item]],CAT_MOD_v31[NÚMERO DE ARTÍCULO (SAP)],CAT_MOD_v31[RESUMIDO],"",0)</f>
        <v>Dominar 250</v>
      </c>
      <c r="F765" s="2" t="str">
        <f>_xlfn.XLOOKUP(Cat_SKU[[#This Row],[Item]],CAT_MOD_v31[NÚMERO DE ARTÍCULO (SAP)],CAT_MOD_v31[COLOR],"",0)</f>
        <v>Negro</v>
      </c>
      <c r="G765" s="2">
        <f>_xlfn.XLOOKUP(Cat_SKU[[#This Row],[Item]],CAT_MOD_v31[NÚMERO DE ARTÍCULO (SAP)],CAT_MOD_v31[AÑO],"",0)</f>
        <v>2021</v>
      </c>
    </row>
    <row r="766" spans="1:7" x14ac:dyDescent="0.35">
      <c r="A766" t="s">
        <v>155</v>
      </c>
      <c r="B766" s="1">
        <v>1101703131</v>
      </c>
      <c r="C766" t="s">
        <v>784</v>
      </c>
      <c r="D766" t="s">
        <v>826</v>
      </c>
      <c r="E766" s="2" t="str">
        <f>_xlfn.XLOOKUP(Cat_SKU[[#This Row],[Item]],CAT_MOD_v31[NÚMERO DE ARTÍCULO (SAP)],CAT_MOD_v31[RESUMIDO],"",0)</f>
        <v>Dominar 250</v>
      </c>
      <c r="F766" s="2" t="str">
        <f>_xlfn.XLOOKUP(Cat_SKU[[#This Row],[Item]],CAT_MOD_v31[NÚMERO DE ARTÍCULO (SAP)],CAT_MOD_v31[COLOR],"",0)</f>
        <v>Rojo</v>
      </c>
      <c r="G766" s="2">
        <f>_xlfn.XLOOKUP(Cat_SKU[[#This Row],[Item]],CAT_MOD_v31[NÚMERO DE ARTÍCULO (SAP)],CAT_MOD_v31[AÑO],"",0)</f>
        <v>2021</v>
      </c>
    </row>
    <row r="767" spans="1:7" x14ac:dyDescent="0.35">
      <c r="A767" t="s">
        <v>155</v>
      </c>
      <c r="B767" s="1">
        <v>1105317804</v>
      </c>
      <c r="C767" t="s">
        <v>777</v>
      </c>
      <c r="D767" t="s">
        <v>840</v>
      </c>
      <c r="E767" s="2" t="str">
        <f>_xlfn.XLOOKUP(Cat_SKU[[#This Row],[Item]],CAT_MOD_v31[NÚMERO DE ARTÍCULO (SAP)],CAT_MOD_v31[RESUMIDO],"",0)</f>
        <v>Pulsar NS160</v>
      </c>
      <c r="F767" s="2" t="str">
        <f>_xlfn.XLOOKUP(Cat_SKU[[#This Row],[Item]],CAT_MOD_v31[NÚMERO DE ARTÍCULO (SAP)],CAT_MOD_v31[COLOR],"",0)</f>
        <v>Azul</v>
      </c>
      <c r="G767" s="2">
        <f>_xlfn.XLOOKUP(Cat_SKU[[#This Row],[Item]],CAT_MOD_v31[NÚMERO DE ARTÍCULO (SAP)],CAT_MOD_v31[AÑO],"",0)</f>
        <v>2021</v>
      </c>
    </row>
    <row r="768" spans="1:7" x14ac:dyDescent="0.35">
      <c r="A768" t="s">
        <v>155</v>
      </c>
      <c r="B768" s="1">
        <v>1105318525</v>
      </c>
      <c r="C768" t="s">
        <v>777</v>
      </c>
      <c r="D768" t="s">
        <v>840</v>
      </c>
      <c r="E768" s="2" t="str">
        <f>_xlfn.XLOOKUP(Cat_SKU[[#This Row],[Item]],CAT_MOD_v31[NÚMERO DE ARTÍCULO (SAP)],CAT_MOD_v31[RESUMIDO],"",0)</f>
        <v>Pulsar NS160</v>
      </c>
      <c r="F768" s="2" t="str">
        <f>_xlfn.XLOOKUP(Cat_SKU[[#This Row],[Item]],CAT_MOD_v31[NÚMERO DE ARTÍCULO (SAP)],CAT_MOD_v31[COLOR],"",0)</f>
        <v>Azul</v>
      </c>
      <c r="G768" s="2">
        <f>_xlfn.XLOOKUP(Cat_SKU[[#This Row],[Item]],CAT_MOD_v31[NÚMERO DE ARTÍCULO (SAP)],CAT_MOD_v31[AÑO],"",0)</f>
        <v>2021</v>
      </c>
    </row>
    <row r="769" spans="1:7" x14ac:dyDescent="0.35">
      <c r="A769" t="s">
        <v>155</v>
      </c>
      <c r="B769" s="1">
        <v>1105318533</v>
      </c>
      <c r="C769" t="s">
        <v>776</v>
      </c>
      <c r="D769" t="s">
        <v>395</v>
      </c>
      <c r="E769" s="2" t="str">
        <f>_xlfn.XLOOKUP(Cat_SKU[[#This Row],[Item]],CAT_MOD_v31[NÚMERO DE ARTÍCULO (SAP)],CAT_MOD_v31[RESUMIDO],"",0)</f>
        <v>Pulsar NS200</v>
      </c>
      <c r="F769" s="2" t="str">
        <f>_xlfn.XLOOKUP(Cat_SKU[[#This Row],[Item]],CAT_MOD_v31[NÚMERO DE ARTÍCULO (SAP)],CAT_MOD_v31[COLOR],"",0)</f>
        <v>Gris</v>
      </c>
      <c r="G769" s="2">
        <f>_xlfn.XLOOKUP(Cat_SKU[[#This Row],[Item]],CAT_MOD_v31[NÚMERO DE ARTÍCULO (SAP)],CAT_MOD_v31[AÑO],"",0)</f>
        <v>2021</v>
      </c>
    </row>
    <row r="770" spans="1:7" x14ac:dyDescent="0.35">
      <c r="A770" t="s">
        <v>155</v>
      </c>
      <c r="B770" s="1">
        <v>1105318541</v>
      </c>
      <c r="C770" t="s">
        <v>776</v>
      </c>
      <c r="D770" t="s">
        <v>395</v>
      </c>
      <c r="E770" s="2" t="str">
        <f>_xlfn.XLOOKUP(Cat_SKU[[#This Row],[Item]],CAT_MOD_v31[NÚMERO DE ARTÍCULO (SAP)],CAT_MOD_v31[RESUMIDO],"",0)</f>
        <v>Pulsar NS200</v>
      </c>
      <c r="F770" s="2" t="str">
        <f>_xlfn.XLOOKUP(Cat_SKU[[#This Row],[Item]],CAT_MOD_v31[NÚMERO DE ARTÍCULO (SAP)],CAT_MOD_v31[COLOR],"",0)</f>
        <v>Gris</v>
      </c>
      <c r="G770" s="2">
        <f>_xlfn.XLOOKUP(Cat_SKU[[#This Row],[Item]],CAT_MOD_v31[NÚMERO DE ARTÍCULO (SAP)],CAT_MOD_v31[AÑO],"",0)</f>
        <v>2021</v>
      </c>
    </row>
    <row r="771" spans="1:7" x14ac:dyDescent="0.35">
      <c r="A771" t="s">
        <v>155</v>
      </c>
      <c r="B771" s="1">
        <v>1108246096</v>
      </c>
      <c r="C771" t="s">
        <v>783</v>
      </c>
      <c r="D771" t="s">
        <v>378</v>
      </c>
      <c r="E771" s="2" t="str">
        <f>_xlfn.XLOOKUP(Cat_SKU[[#This Row],[Item]],CAT_MOD_v31[NÚMERO DE ARTÍCULO (SAP)],CAT_MOD_v31[RESUMIDO],"",0)</f>
        <v>Dominar 400</v>
      </c>
      <c r="F771" s="2" t="str">
        <f>_xlfn.XLOOKUP(Cat_SKU[[#This Row],[Item]],CAT_MOD_v31[NÚMERO DE ARTÍCULO (SAP)],CAT_MOD_v31[COLOR],"",0)</f>
        <v>Negro</v>
      </c>
      <c r="G771" s="2">
        <f>_xlfn.XLOOKUP(Cat_SKU[[#This Row],[Item]],CAT_MOD_v31[NÚMERO DE ARTÍCULO (SAP)],CAT_MOD_v31[AÑO],"",0)</f>
        <v>2022</v>
      </c>
    </row>
    <row r="772" spans="1:7" x14ac:dyDescent="0.35">
      <c r="A772" t="s">
        <v>155</v>
      </c>
      <c r="B772" s="1">
        <v>1108246100</v>
      </c>
      <c r="C772" t="s">
        <v>783</v>
      </c>
      <c r="D772" t="s">
        <v>832</v>
      </c>
      <c r="E772" s="2" t="str">
        <f>_xlfn.XLOOKUP(Cat_SKU[[#This Row],[Item]],CAT_MOD_v31[NÚMERO DE ARTÍCULO (SAP)],CAT_MOD_v31[RESUMIDO],"",0)</f>
        <v>Dominar 400</v>
      </c>
      <c r="F772" s="2" t="str">
        <f>_xlfn.XLOOKUP(Cat_SKU[[#This Row],[Item]],CAT_MOD_v31[NÚMERO DE ARTÍCULO (SAP)],CAT_MOD_v31[COLOR],"",0)</f>
        <v>Verde</v>
      </c>
      <c r="G772" s="2">
        <f>_xlfn.XLOOKUP(Cat_SKU[[#This Row],[Item]],CAT_MOD_v31[NÚMERO DE ARTÍCULO (SAP)],CAT_MOD_v31[AÑO],"",0)</f>
        <v>2022</v>
      </c>
    </row>
    <row r="773" spans="1:7" x14ac:dyDescent="0.35">
      <c r="A773" t="s">
        <v>155</v>
      </c>
      <c r="B773" s="1">
        <v>1108246118</v>
      </c>
      <c r="C773" t="s">
        <v>784</v>
      </c>
      <c r="D773" t="s">
        <v>825</v>
      </c>
      <c r="E773" s="2" t="str">
        <f>_xlfn.XLOOKUP(Cat_SKU[[#This Row],[Item]],CAT_MOD_v31[NÚMERO DE ARTÍCULO (SAP)],CAT_MOD_v31[RESUMIDO],"",0)</f>
        <v>Dominar 250</v>
      </c>
      <c r="F773" s="2" t="str">
        <f>_xlfn.XLOOKUP(Cat_SKU[[#This Row],[Item]],CAT_MOD_v31[NÚMERO DE ARTÍCULO (SAP)],CAT_MOD_v31[COLOR],"",0)</f>
        <v>Negro</v>
      </c>
      <c r="G773" s="2">
        <f>_xlfn.XLOOKUP(Cat_SKU[[#This Row],[Item]],CAT_MOD_v31[NÚMERO DE ARTÍCULO (SAP)],CAT_MOD_v31[AÑO],"",0)</f>
        <v>2022</v>
      </c>
    </row>
    <row r="774" spans="1:7" x14ac:dyDescent="0.35">
      <c r="A774" t="s">
        <v>155</v>
      </c>
      <c r="B774" s="1">
        <v>1108247122</v>
      </c>
      <c r="C774" t="s">
        <v>782</v>
      </c>
      <c r="D774" t="s">
        <v>384</v>
      </c>
      <c r="E774" s="2" t="str">
        <f>_xlfn.XLOOKUP(Cat_SKU[[#This Row],[Item]],CAT_MOD_v31[NÚMERO DE ARTÍCULO (SAP)],CAT_MOD_v31[RESUMIDO],"",0)</f>
        <v>Pulsar RS200</v>
      </c>
      <c r="F774" s="2" t="str">
        <f>_xlfn.XLOOKUP(Cat_SKU[[#This Row],[Item]],CAT_MOD_v31[NÚMERO DE ARTÍCULO (SAP)],CAT_MOD_v31[COLOR],"",0)</f>
        <v>Gris</v>
      </c>
      <c r="G774" s="2">
        <f>_xlfn.XLOOKUP(Cat_SKU[[#This Row],[Item]],CAT_MOD_v31[NÚMERO DE ARTÍCULO (SAP)],CAT_MOD_v31[AÑO],"",0)</f>
        <v>2022</v>
      </c>
    </row>
    <row r="775" spans="1:7" x14ac:dyDescent="0.35">
      <c r="A775" t="s">
        <v>155</v>
      </c>
      <c r="B775" s="1">
        <v>1108247131</v>
      </c>
      <c r="C775" t="s">
        <v>782</v>
      </c>
      <c r="D775" t="s">
        <v>852</v>
      </c>
      <c r="E775" s="2" t="str">
        <f>_xlfn.XLOOKUP(Cat_SKU[[#This Row],[Item]],CAT_MOD_v31[NÚMERO DE ARTÍCULO (SAP)],CAT_MOD_v31[RESUMIDO],"",0)</f>
        <v>Pulsar RS200</v>
      </c>
      <c r="F775" s="2" t="str">
        <f>_xlfn.XLOOKUP(Cat_SKU[[#This Row],[Item]],CAT_MOD_v31[NÚMERO DE ARTÍCULO (SAP)],CAT_MOD_v31[COLOR],"",0)</f>
        <v>Blanco</v>
      </c>
      <c r="G775" s="2">
        <f>_xlfn.XLOOKUP(Cat_SKU[[#This Row],[Item]],CAT_MOD_v31[NÚMERO DE ARTÍCULO (SAP)],CAT_MOD_v31[AÑO],"",0)</f>
        <v>2022</v>
      </c>
    </row>
    <row r="776" spans="1:7" x14ac:dyDescent="0.35">
      <c r="A776" t="s">
        <v>155</v>
      </c>
      <c r="B776" s="1">
        <v>1108247149</v>
      </c>
      <c r="C776" t="s">
        <v>776</v>
      </c>
      <c r="D776" t="s">
        <v>393</v>
      </c>
      <c r="E776" s="2" t="str">
        <f>_xlfn.XLOOKUP(Cat_SKU[[#This Row],[Item]],CAT_MOD_v31[NÚMERO DE ARTÍCULO (SAP)],CAT_MOD_v31[RESUMIDO],"",0)</f>
        <v>Pulsar 200 FI</v>
      </c>
      <c r="F776" s="2" t="str">
        <f>_xlfn.XLOOKUP(Cat_SKU[[#This Row],[Item]],CAT_MOD_v31[NÚMERO DE ARTÍCULO (SAP)],CAT_MOD_v31[COLOR],"",0)</f>
        <v>Rojo</v>
      </c>
      <c r="G776" s="2">
        <f>_xlfn.XLOOKUP(Cat_SKU[[#This Row],[Item]],CAT_MOD_v31[NÚMERO DE ARTÍCULO (SAP)],CAT_MOD_v31[AÑO],"",0)</f>
        <v>2022</v>
      </c>
    </row>
    <row r="777" spans="1:7" x14ac:dyDescent="0.35">
      <c r="A777" t="s">
        <v>155</v>
      </c>
      <c r="B777" s="1">
        <v>1108247157</v>
      </c>
      <c r="C777" t="s">
        <v>776</v>
      </c>
      <c r="D777" t="s">
        <v>586</v>
      </c>
      <c r="E777" s="2" t="str">
        <f>_xlfn.XLOOKUP(Cat_SKU[[#This Row],[Item]],CAT_MOD_v31[NÚMERO DE ARTÍCULO (SAP)],CAT_MOD_v31[RESUMIDO],"",0)</f>
        <v>Pulsar 200 FI</v>
      </c>
      <c r="F777" s="2" t="str">
        <f>_xlfn.XLOOKUP(Cat_SKU[[#This Row],[Item]],CAT_MOD_v31[NÚMERO DE ARTÍCULO (SAP)],CAT_MOD_v31[COLOR],"",0)</f>
        <v>Gris</v>
      </c>
      <c r="G777" s="2">
        <f>_xlfn.XLOOKUP(Cat_SKU[[#This Row],[Item]],CAT_MOD_v31[NÚMERO DE ARTÍCULO (SAP)],CAT_MOD_v31[AÑO],"",0)</f>
        <v>2022</v>
      </c>
    </row>
    <row r="778" spans="1:7" x14ac:dyDescent="0.35">
      <c r="A778" t="s">
        <v>155</v>
      </c>
      <c r="B778" s="1">
        <v>1108247572</v>
      </c>
      <c r="C778" t="s">
        <v>777</v>
      </c>
      <c r="D778" t="s">
        <v>843</v>
      </c>
      <c r="E778" s="2" t="str">
        <f>_xlfn.XLOOKUP(Cat_SKU[[#This Row],[Item]],CAT_MOD_v31[NÚMERO DE ARTÍCULO (SAP)],CAT_MOD_v31[RESUMIDO],"",0)</f>
        <v>Pulsar NS160</v>
      </c>
      <c r="F778" s="2" t="str">
        <f>_xlfn.XLOOKUP(Cat_SKU[[#This Row],[Item]],CAT_MOD_v31[NÚMERO DE ARTÍCULO (SAP)],CAT_MOD_v31[COLOR],"",0)</f>
        <v>Gris</v>
      </c>
      <c r="G778" s="2">
        <f>_xlfn.XLOOKUP(Cat_SKU[[#This Row],[Item]],CAT_MOD_v31[NÚMERO DE ARTÍCULO (SAP)],CAT_MOD_v31[AÑO],"",0)</f>
        <v>2022</v>
      </c>
    </row>
    <row r="779" spans="1:7" x14ac:dyDescent="0.35">
      <c r="A779" t="s">
        <v>155</v>
      </c>
      <c r="B779" s="1">
        <v>1108247581</v>
      </c>
      <c r="C779" t="s">
        <v>777</v>
      </c>
      <c r="D779" t="s">
        <v>322</v>
      </c>
      <c r="E779" s="2" t="str">
        <f>_xlfn.XLOOKUP(Cat_SKU[[#This Row],[Item]],CAT_MOD_v31[NÚMERO DE ARTÍCULO (SAP)],CAT_MOD_v31[RESUMIDO],"",0)</f>
        <v>Pulsar NS160</v>
      </c>
      <c r="F779" s="2" t="str">
        <f>_xlfn.XLOOKUP(Cat_SKU[[#This Row],[Item]],CAT_MOD_v31[NÚMERO DE ARTÍCULO (SAP)],CAT_MOD_v31[COLOR],"",0)</f>
        <v>Azul</v>
      </c>
      <c r="G779" s="2">
        <f>_xlfn.XLOOKUP(Cat_SKU[[#This Row],[Item]],CAT_MOD_v31[NÚMERO DE ARTÍCULO (SAP)],CAT_MOD_v31[AÑO],"",0)</f>
        <v>2022</v>
      </c>
    </row>
    <row r="780" spans="1:7" x14ac:dyDescent="0.35">
      <c r="A780" t="s">
        <v>155</v>
      </c>
      <c r="B780" s="1">
        <v>1108247599</v>
      </c>
      <c r="C780" t="s">
        <v>780</v>
      </c>
      <c r="D780" t="s">
        <v>398</v>
      </c>
      <c r="E780" s="2" t="str">
        <f>_xlfn.XLOOKUP(Cat_SKU[[#This Row],[Item]],CAT_MOD_v31[NÚMERO DE ARTÍCULO (SAP)],CAT_MOD_v31[RESUMIDO],"",0)</f>
        <v>Pulsar LS125</v>
      </c>
      <c r="F780" s="2" t="str">
        <f>_xlfn.XLOOKUP(Cat_SKU[[#This Row],[Item]],CAT_MOD_v31[NÚMERO DE ARTÍCULO (SAP)],CAT_MOD_v31[COLOR],"",0)</f>
        <v>Amarillo</v>
      </c>
      <c r="G780" s="2">
        <f>_xlfn.XLOOKUP(Cat_SKU[[#This Row],[Item]],CAT_MOD_v31[NÚMERO DE ARTÍCULO (SAP)],CAT_MOD_v31[AÑO],"",0)</f>
        <v>2022</v>
      </c>
    </row>
    <row r="781" spans="1:7" x14ac:dyDescent="0.35">
      <c r="A781" t="s">
        <v>155</v>
      </c>
      <c r="B781" s="1">
        <v>1108247602</v>
      </c>
      <c r="C781" t="s">
        <v>780</v>
      </c>
      <c r="D781" t="s">
        <v>323</v>
      </c>
      <c r="E781" s="2" t="str">
        <f>_xlfn.XLOOKUP(Cat_SKU[[#This Row],[Item]],CAT_MOD_v31[NÚMERO DE ARTÍCULO (SAP)],CAT_MOD_v31[RESUMIDO],"",0)</f>
        <v>Pulsar LS125</v>
      </c>
      <c r="F781" s="2" t="str">
        <f>_xlfn.XLOOKUP(Cat_SKU[[#This Row],[Item]],CAT_MOD_v31[NÚMERO DE ARTÍCULO (SAP)],CAT_MOD_v31[COLOR],"",0)</f>
        <v>Negro</v>
      </c>
      <c r="G781" s="2">
        <f>_xlfn.XLOOKUP(Cat_SKU[[#This Row],[Item]],CAT_MOD_v31[NÚMERO DE ARTÍCULO (SAP)],CAT_MOD_v31[AÑO],"",0)</f>
        <v>2022</v>
      </c>
    </row>
    <row r="782" spans="1:7" x14ac:dyDescent="0.35">
      <c r="A782" t="s">
        <v>155</v>
      </c>
      <c r="B782" s="1">
        <v>1108247611</v>
      </c>
      <c r="C782" t="s">
        <v>820</v>
      </c>
      <c r="D782" t="s">
        <v>405</v>
      </c>
      <c r="E782" s="2" t="str">
        <f>_xlfn.XLOOKUP(Cat_SKU[[#This Row],[Item]],CAT_MOD_v31[NÚMERO DE ARTÍCULO (SAP)],CAT_MOD_v31[RESUMIDO],"",0)</f>
        <v>Pulsar 220</v>
      </c>
      <c r="F782" s="2" t="str">
        <f>_xlfn.XLOOKUP(Cat_SKU[[#This Row],[Item]],CAT_MOD_v31[NÚMERO DE ARTÍCULO (SAP)],CAT_MOD_v31[COLOR],"",0)</f>
        <v>Negro</v>
      </c>
      <c r="G782" s="2">
        <f>_xlfn.XLOOKUP(Cat_SKU[[#This Row],[Item]],CAT_MOD_v31[NÚMERO DE ARTÍCULO (SAP)],CAT_MOD_v31[AÑO],"",0)</f>
        <v>2022</v>
      </c>
    </row>
    <row r="783" spans="1:7" x14ac:dyDescent="0.35">
      <c r="A783" t="s">
        <v>155</v>
      </c>
      <c r="B783" s="1">
        <v>1108247629</v>
      </c>
      <c r="C783" t="s">
        <v>819</v>
      </c>
      <c r="D783" t="s">
        <v>403</v>
      </c>
      <c r="E783" s="2" t="str">
        <f>_xlfn.XLOOKUP(Cat_SKU[[#This Row],[Item]],CAT_MOD_v31[NÚMERO DE ARTÍCULO (SAP)],CAT_MOD_v31[RESUMIDO],"",0)</f>
        <v>Pulsar 150</v>
      </c>
      <c r="F783" s="2" t="str">
        <f>_xlfn.XLOOKUP(Cat_SKU[[#This Row],[Item]],CAT_MOD_v31[NÚMERO DE ARTÍCULO (SAP)],CAT_MOD_v31[COLOR],"",0)</f>
        <v>Negro</v>
      </c>
      <c r="G783" s="2">
        <f>_xlfn.XLOOKUP(Cat_SKU[[#This Row],[Item]],CAT_MOD_v31[NÚMERO DE ARTÍCULO (SAP)],CAT_MOD_v31[AÑO],"",0)</f>
        <v>2022</v>
      </c>
    </row>
    <row r="784" spans="1:7" x14ac:dyDescent="0.35">
      <c r="A784" t="s">
        <v>155</v>
      </c>
      <c r="B784" s="1">
        <v>1108247637</v>
      </c>
      <c r="C784" t="s">
        <v>775</v>
      </c>
      <c r="D784" t="s">
        <v>319</v>
      </c>
      <c r="E784" s="2" t="str">
        <f>_xlfn.XLOOKUP(Cat_SKU[[#This Row],[Item]],CAT_MOD_v31[NÚMERO DE ARTÍCULO (SAP)],CAT_MOD_v31[RESUMIDO],"",0)</f>
        <v>Avenger Cruise 220</v>
      </c>
      <c r="F784" s="2" t="str">
        <f>_xlfn.XLOOKUP(Cat_SKU[[#This Row],[Item]],CAT_MOD_v31[NÚMERO DE ARTÍCULO (SAP)],CAT_MOD_v31[COLOR],"",0)</f>
        <v>Negro</v>
      </c>
      <c r="G784" s="2">
        <f>_xlfn.XLOOKUP(Cat_SKU[[#This Row],[Item]],CAT_MOD_v31[NÚMERO DE ARTÍCULO (SAP)],CAT_MOD_v31[AÑO],"",0)</f>
        <v>2022</v>
      </c>
    </row>
    <row r="785" spans="1:7" x14ac:dyDescent="0.35">
      <c r="A785" t="s">
        <v>155</v>
      </c>
      <c r="B785" s="1">
        <v>1108247645</v>
      </c>
      <c r="C785" t="s">
        <v>781</v>
      </c>
      <c r="D785" t="s">
        <v>320</v>
      </c>
      <c r="E785" s="2" t="str">
        <f>_xlfn.XLOOKUP(Cat_SKU[[#This Row],[Item]],CAT_MOD_v31[NÚMERO DE ARTÍCULO (SAP)],CAT_MOD_v31[RESUMIDO],"",0)</f>
        <v>Boxer BM150</v>
      </c>
      <c r="F785" s="2" t="str">
        <f>_xlfn.XLOOKUP(Cat_SKU[[#This Row],[Item]],CAT_MOD_v31[NÚMERO DE ARTÍCULO (SAP)],CAT_MOD_v31[COLOR],"",0)</f>
        <v>Blanco</v>
      </c>
      <c r="G785" s="2">
        <f>_xlfn.XLOOKUP(Cat_SKU[[#This Row],[Item]],CAT_MOD_v31[NÚMERO DE ARTÍCULO (SAP)],CAT_MOD_v31[AÑO],"",0)</f>
        <v>2022</v>
      </c>
    </row>
    <row r="786" spans="1:7" x14ac:dyDescent="0.35">
      <c r="A786" t="s">
        <v>155</v>
      </c>
      <c r="B786" s="1">
        <v>1112880581</v>
      </c>
      <c r="C786" t="s">
        <v>776</v>
      </c>
      <c r="D786" t="s">
        <v>810</v>
      </c>
      <c r="E786" s="2" t="str">
        <f>_xlfn.XLOOKUP(Cat_SKU[[#This Row],[Item]],CAT_MOD_v31[NÚMERO DE ARTÍCULO (SAP)],CAT_MOD_v31[RESUMIDO],"",0)</f>
        <v>Pulsar NS200</v>
      </c>
      <c r="F786" s="2" t="str">
        <f>_xlfn.XLOOKUP(Cat_SKU[[#This Row],[Item]],CAT_MOD_v31[NÚMERO DE ARTÍCULO (SAP)],CAT_MOD_v31[COLOR],"",0)</f>
        <v>Perla</v>
      </c>
      <c r="G786" s="2">
        <f>_xlfn.XLOOKUP(Cat_SKU[[#This Row],[Item]],CAT_MOD_v31[NÚMERO DE ARTÍCULO (SAP)],CAT_MOD_v31[AÑO],"",0)</f>
        <v>2022</v>
      </c>
    </row>
    <row r="787" spans="1:7" x14ac:dyDescent="0.35">
      <c r="A787" t="s">
        <v>155</v>
      </c>
      <c r="B787" s="1">
        <v>1116797859</v>
      </c>
      <c r="C787" t="s">
        <v>777</v>
      </c>
      <c r="D787" t="s">
        <v>842</v>
      </c>
      <c r="E787" s="2" t="str">
        <f>_xlfn.XLOOKUP(Cat_SKU[[#This Row],[Item]],CAT_MOD_v31[NÚMERO DE ARTÍCULO (SAP)],CAT_MOD_v31[RESUMIDO],"",0)</f>
        <v>Pulsar NS160</v>
      </c>
      <c r="F787" s="2" t="str">
        <f>_xlfn.XLOOKUP(Cat_SKU[[#This Row],[Item]],CAT_MOD_v31[NÚMERO DE ARTÍCULO (SAP)],CAT_MOD_v31[COLOR],"",0)</f>
        <v>Negro</v>
      </c>
      <c r="G787" s="2">
        <f>_xlfn.XLOOKUP(Cat_SKU[[#This Row],[Item]],CAT_MOD_v31[NÚMERO DE ARTÍCULO (SAP)],CAT_MOD_v31[AÑO],"",0)</f>
        <v>2022</v>
      </c>
    </row>
    <row r="788" spans="1:7" x14ac:dyDescent="0.35">
      <c r="A788" t="s">
        <v>155</v>
      </c>
      <c r="B788" s="1">
        <v>1120316156</v>
      </c>
      <c r="C788" t="s">
        <v>777</v>
      </c>
      <c r="D788" t="s">
        <v>374</v>
      </c>
      <c r="E788" s="2" t="str">
        <f>_xlfn.XLOOKUP(Cat_SKU[[#This Row],[Item]],CAT_MOD_v31[NÚMERO DE ARTÍCULO (SAP)],CAT_MOD_v31[RESUMIDO],"",0)</f>
        <v>Pulsar NS160</v>
      </c>
      <c r="F788" s="2" t="str">
        <f>_xlfn.XLOOKUP(Cat_SKU[[#This Row],[Item]],CAT_MOD_v31[NÚMERO DE ARTÍCULO (SAP)],CAT_MOD_v31[COLOR],"",0)</f>
        <v>Azul</v>
      </c>
      <c r="G788" s="2">
        <f>_xlfn.XLOOKUP(Cat_SKU[[#This Row],[Item]],CAT_MOD_v31[NÚMERO DE ARTÍCULO (SAP)],CAT_MOD_v31[AÑO],"",0)</f>
        <v>2022</v>
      </c>
    </row>
    <row r="789" spans="1:7" x14ac:dyDescent="0.35">
      <c r="A789" t="s">
        <v>155</v>
      </c>
      <c r="B789" s="1">
        <v>1123259439</v>
      </c>
      <c r="C789" t="s">
        <v>784</v>
      </c>
      <c r="D789" t="s">
        <v>321</v>
      </c>
      <c r="E789" s="2" t="str">
        <f>_xlfn.XLOOKUP(Cat_SKU[[#This Row],[Item]],CAT_MOD_v31[NÚMERO DE ARTÍCULO (SAP)],CAT_MOD_v31[RESUMIDO],"",0)</f>
        <v>Dominar 250</v>
      </c>
      <c r="F789" s="2" t="str">
        <f>_xlfn.XLOOKUP(Cat_SKU[[#This Row],[Item]],CAT_MOD_v31[NÚMERO DE ARTÍCULO (SAP)],CAT_MOD_v31[COLOR],"",0)</f>
        <v>Rojo</v>
      </c>
      <c r="G789" s="2">
        <f>_xlfn.XLOOKUP(Cat_SKU[[#This Row],[Item]],CAT_MOD_v31[NÚMERO DE ARTÍCULO (SAP)],CAT_MOD_v31[AÑO],"",0)</f>
        <v>2022</v>
      </c>
    </row>
    <row r="790" spans="1:7" x14ac:dyDescent="0.35">
      <c r="A790" t="s">
        <v>155</v>
      </c>
      <c r="B790" s="1">
        <v>1123259447</v>
      </c>
      <c r="C790" t="s">
        <v>776</v>
      </c>
      <c r="D790" t="s">
        <v>394</v>
      </c>
      <c r="E790" s="2" t="str">
        <f>_xlfn.XLOOKUP(Cat_SKU[[#This Row],[Item]],CAT_MOD_v31[NÚMERO DE ARTÍCULO (SAP)],CAT_MOD_v31[RESUMIDO],"",0)</f>
        <v>Pulsar NS200</v>
      </c>
      <c r="F790" s="2" t="str">
        <f>_xlfn.XLOOKUP(Cat_SKU[[#This Row],[Item]],CAT_MOD_v31[NÚMERO DE ARTÍCULO (SAP)],CAT_MOD_v31[COLOR],"",0)</f>
        <v>Negro</v>
      </c>
      <c r="G790" s="2">
        <f>_xlfn.XLOOKUP(Cat_SKU[[#This Row],[Item]],CAT_MOD_v31[NÚMERO DE ARTÍCULO (SAP)],CAT_MOD_v31[AÑO],"",0)</f>
        <v>2022</v>
      </c>
    </row>
    <row r="791" spans="1:7" x14ac:dyDescent="0.35">
      <c r="A791" t="s">
        <v>155</v>
      </c>
      <c r="B791" s="1">
        <v>1123259455</v>
      </c>
      <c r="C791" t="s">
        <v>776</v>
      </c>
      <c r="D791" t="s">
        <v>810</v>
      </c>
      <c r="E791" s="2" t="str">
        <f>_xlfn.XLOOKUP(Cat_SKU[[#This Row],[Item]],CAT_MOD_v31[NÚMERO DE ARTÍCULO (SAP)],CAT_MOD_v31[RESUMIDO],"",0)</f>
        <v>Pulsar NS200</v>
      </c>
      <c r="F791" s="2" t="str">
        <f>_xlfn.XLOOKUP(Cat_SKU[[#This Row],[Item]],CAT_MOD_v31[NÚMERO DE ARTÍCULO (SAP)],CAT_MOD_v31[COLOR],"",0)</f>
        <v>Perla</v>
      </c>
      <c r="G791" s="2">
        <f>_xlfn.XLOOKUP(Cat_SKU[[#This Row],[Item]],CAT_MOD_v31[NÚMERO DE ARTÍCULO (SAP)],CAT_MOD_v31[AÑO],"",0)</f>
        <v>2022</v>
      </c>
    </row>
    <row r="792" spans="1:7" x14ac:dyDescent="0.35">
      <c r="A792" t="s">
        <v>155</v>
      </c>
      <c r="B792" s="1">
        <v>1123259463</v>
      </c>
      <c r="C792" t="s">
        <v>782</v>
      </c>
      <c r="D792" t="s">
        <v>324</v>
      </c>
      <c r="E792" s="2" t="str">
        <f>_xlfn.XLOOKUP(Cat_SKU[[#This Row],[Item]],CAT_MOD_v31[NÚMERO DE ARTÍCULO (SAP)],CAT_MOD_v31[RESUMIDO],"",0)</f>
        <v>Pulsar RS200</v>
      </c>
      <c r="F792" s="2" t="str">
        <f>_xlfn.XLOOKUP(Cat_SKU[[#This Row],[Item]],CAT_MOD_v31[NÚMERO DE ARTÍCULO (SAP)],CAT_MOD_v31[COLOR],"",0)</f>
        <v>Perla</v>
      </c>
      <c r="G792" s="2">
        <f>_xlfn.XLOOKUP(Cat_SKU[[#This Row],[Item]],CAT_MOD_v31[NÚMERO DE ARTÍCULO (SAP)],CAT_MOD_v31[AÑO],"",0)</f>
        <v>2022</v>
      </c>
    </row>
    <row r="793" spans="1:7" x14ac:dyDescent="0.35">
      <c r="A793" t="s">
        <v>155</v>
      </c>
      <c r="B793" s="1">
        <v>1128821828</v>
      </c>
      <c r="C793" t="s">
        <v>783</v>
      </c>
      <c r="D793" t="s">
        <v>330</v>
      </c>
      <c r="E793" s="2" t="str">
        <f>_xlfn.XLOOKUP(Cat_SKU[[#This Row],[Item]],CAT_MOD_v31[NÚMERO DE ARTÍCULO (SAP)],CAT_MOD_v31[RESUMIDO],"",0)</f>
        <v>Dominar 400</v>
      </c>
      <c r="F793" s="2" t="str">
        <f>_xlfn.XLOOKUP(Cat_SKU[[#This Row],[Item]],CAT_MOD_v31[NÚMERO DE ARTÍCULO (SAP)],CAT_MOD_v31[COLOR],"",0)</f>
        <v>Negro</v>
      </c>
      <c r="G793" s="2">
        <f>_xlfn.XLOOKUP(Cat_SKU[[#This Row],[Item]],CAT_MOD_v31[NÚMERO DE ARTÍCULO (SAP)],CAT_MOD_v31[AÑO],"",0)</f>
        <v>2023</v>
      </c>
    </row>
    <row r="794" spans="1:7" x14ac:dyDescent="0.35">
      <c r="A794" t="s">
        <v>155</v>
      </c>
      <c r="B794" s="1">
        <v>1128866392</v>
      </c>
      <c r="C794" t="s">
        <v>777</v>
      </c>
      <c r="D794" t="s">
        <v>315</v>
      </c>
      <c r="E794" s="2" t="str">
        <f>_xlfn.XLOOKUP(Cat_SKU[[#This Row],[Item]],CAT_MOD_v31[NÚMERO DE ARTÍCULO (SAP)],CAT_MOD_v31[RESUMIDO],"",0)</f>
        <v>Pulsar NS160</v>
      </c>
      <c r="F794" s="2" t="str">
        <f>_xlfn.XLOOKUP(Cat_SKU[[#This Row],[Item]],CAT_MOD_v31[NÚMERO DE ARTÍCULO (SAP)],CAT_MOD_v31[COLOR],"",0)</f>
        <v>Negro</v>
      </c>
      <c r="G794" s="2">
        <f>_xlfn.XLOOKUP(Cat_SKU[[#This Row],[Item]],CAT_MOD_v31[NÚMERO DE ARTÍCULO (SAP)],CAT_MOD_v31[AÑO],"",0)</f>
        <v>2023</v>
      </c>
    </row>
    <row r="795" spans="1:7" x14ac:dyDescent="0.35">
      <c r="A795" t="s">
        <v>155</v>
      </c>
      <c r="B795" s="1">
        <v>1128916390</v>
      </c>
      <c r="C795" t="s">
        <v>776</v>
      </c>
      <c r="D795" t="s">
        <v>375</v>
      </c>
      <c r="E795" s="2" t="str">
        <f>_xlfn.XLOOKUP(Cat_SKU[[#This Row],[Item]],CAT_MOD_v31[NÚMERO DE ARTÍCULO (SAP)],CAT_MOD_v31[RESUMIDO],"",0)</f>
        <v>Pulsar NS200</v>
      </c>
      <c r="F795" s="2" t="str">
        <f>_xlfn.XLOOKUP(Cat_SKU[[#This Row],[Item]],CAT_MOD_v31[NÚMERO DE ARTÍCULO (SAP)],CAT_MOD_v31[COLOR],"",0)</f>
        <v>Perla</v>
      </c>
      <c r="G795" s="2">
        <f>_xlfn.XLOOKUP(Cat_SKU[[#This Row],[Item]],CAT_MOD_v31[NÚMERO DE ARTÍCULO (SAP)],CAT_MOD_v31[AÑO],"",0)</f>
        <v>2023</v>
      </c>
    </row>
    <row r="796" spans="1:7" x14ac:dyDescent="0.35">
      <c r="A796" t="s">
        <v>155</v>
      </c>
      <c r="B796" s="1">
        <v>1128916403</v>
      </c>
      <c r="C796" t="s">
        <v>776</v>
      </c>
      <c r="D796" t="s">
        <v>365</v>
      </c>
      <c r="E796" s="2" t="str">
        <f>_xlfn.XLOOKUP(Cat_SKU[[#This Row],[Item]],CAT_MOD_v31[NÚMERO DE ARTÍCULO (SAP)],CAT_MOD_v31[RESUMIDO],"",0)</f>
        <v>Pulsar NS200</v>
      </c>
      <c r="F796" s="2" t="str">
        <f>_xlfn.XLOOKUP(Cat_SKU[[#This Row],[Item]],CAT_MOD_v31[NÚMERO DE ARTÍCULO (SAP)],CAT_MOD_v31[COLOR],"",0)</f>
        <v>Negro</v>
      </c>
      <c r="G796" s="2">
        <f>_xlfn.XLOOKUP(Cat_SKU[[#This Row],[Item]],CAT_MOD_v31[NÚMERO DE ARTÍCULO (SAP)],CAT_MOD_v31[AÑO],"",0)</f>
        <v>2023</v>
      </c>
    </row>
    <row r="797" spans="1:7" x14ac:dyDescent="0.35">
      <c r="A797" t="s">
        <v>155</v>
      </c>
      <c r="B797" s="1">
        <v>1128917230</v>
      </c>
      <c r="C797" t="s">
        <v>782</v>
      </c>
      <c r="D797" t="s">
        <v>372</v>
      </c>
      <c r="E797" s="2" t="str">
        <f>_xlfn.XLOOKUP(Cat_SKU[[#This Row],[Item]],CAT_MOD_v31[NÚMERO DE ARTÍCULO (SAP)],CAT_MOD_v31[RESUMIDO],"",0)</f>
        <v>Pulsar RS200</v>
      </c>
      <c r="F797" s="2" t="str">
        <f>_xlfn.XLOOKUP(Cat_SKU[[#This Row],[Item]],CAT_MOD_v31[NÚMERO DE ARTÍCULO (SAP)],CAT_MOD_v31[COLOR],"",0)</f>
        <v>Negro</v>
      </c>
      <c r="G797" s="2">
        <f>_xlfn.XLOOKUP(Cat_SKU[[#This Row],[Item]],CAT_MOD_v31[NÚMERO DE ARTÍCULO (SAP)],CAT_MOD_v31[AÑO],"",0)</f>
        <v>2023</v>
      </c>
    </row>
    <row r="798" spans="1:7" x14ac:dyDescent="0.35">
      <c r="A798" t="s">
        <v>155</v>
      </c>
      <c r="B798" s="1">
        <v>1128917256</v>
      </c>
      <c r="C798" t="s">
        <v>775</v>
      </c>
      <c r="D798" t="s">
        <v>368</v>
      </c>
      <c r="E798" s="2" t="str">
        <f>_xlfn.XLOOKUP(Cat_SKU[[#This Row],[Item]],CAT_MOD_v31[NÚMERO DE ARTÍCULO (SAP)],CAT_MOD_v31[RESUMIDO],"",0)</f>
        <v>Avenger Cruise 220</v>
      </c>
      <c r="F798" s="2" t="str">
        <f>_xlfn.XLOOKUP(Cat_SKU[[#This Row],[Item]],CAT_MOD_v31[NÚMERO DE ARTÍCULO (SAP)],CAT_MOD_v31[COLOR],"",0)</f>
        <v>Negro</v>
      </c>
      <c r="G798" s="2">
        <f>_xlfn.XLOOKUP(Cat_SKU[[#This Row],[Item]],CAT_MOD_v31[NÚMERO DE ARTÍCULO (SAP)],CAT_MOD_v31[AÑO],"",0)</f>
        <v>2023</v>
      </c>
    </row>
    <row r="799" spans="1:7" x14ac:dyDescent="0.35">
      <c r="A799" t="s">
        <v>155</v>
      </c>
      <c r="B799" s="1">
        <v>5006675036</v>
      </c>
      <c r="C799" t="s">
        <v>783</v>
      </c>
      <c r="D799" t="s">
        <v>827</v>
      </c>
      <c r="E799" s="2" t="str">
        <f>_xlfn.XLOOKUP(Cat_SKU[[#This Row],[Item]],CAT_MOD_v31[NÚMERO DE ARTÍCULO (SAP)],CAT_MOD_v31[RESUMIDO],"",0)</f>
        <v>Dominar 400</v>
      </c>
      <c r="F799" s="2" t="str">
        <f>_xlfn.XLOOKUP(Cat_SKU[[#This Row],[Item]],CAT_MOD_v31[NÚMERO DE ARTÍCULO (SAP)],CAT_MOD_v31[COLOR],"",0)</f>
        <v>Negro</v>
      </c>
      <c r="G799" s="2">
        <f>_xlfn.XLOOKUP(Cat_SKU[[#This Row],[Item]],CAT_MOD_v31[NÚMERO DE ARTÍCULO (SAP)],CAT_MOD_v31[AÑO],"",0)</f>
        <v>2022</v>
      </c>
    </row>
    <row r="800" spans="1:7" x14ac:dyDescent="0.35">
      <c r="A800" t="s">
        <v>155</v>
      </c>
      <c r="B800" s="1">
        <v>5006675044</v>
      </c>
      <c r="C800" t="s">
        <v>780</v>
      </c>
      <c r="D800" t="s">
        <v>323</v>
      </c>
      <c r="E800" s="2" t="str">
        <f>_xlfn.XLOOKUP(Cat_SKU[[#This Row],[Item]],CAT_MOD_v31[NÚMERO DE ARTÍCULO (SAP)],CAT_MOD_v31[RESUMIDO],"",0)</f>
        <v>Pulsar LS125</v>
      </c>
      <c r="F800" s="2" t="str">
        <f>_xlfn.XLOOKUP(Cat_SKU[[#This Row],[Item]],CAT_MOD_v31[NÚMERO DE ARTÍCULO (SAP)],CAT_MOD_v31[COLOR],"",0)</f>
        <v>Negro</v>
      </c>
      <c r="G800" s="2">
        <f>_xlfn.XLOOKUP(Cat_SKU[[#This Row],[Item]],CAT_MOD_v31[NÚMERO DE ARTÍCULO (SAP)],CAT_MOD_v31[AÑO],"",0)</f>
        <v>2022</v>
      </c>
    </row>
    <row r="801" spans="1:7" x14ac:dyDescent="0.35">
      <c r="A801" t="s">
        <v>155</v>
      </c>
      <c r="B801" s="1">
        <v>5006675052</v>
      </c>
      <c r="C801" t="s">
        <v>777</v>
      </c>
      <c r="D801" t="s">
        <v>843</v>
      </c>
      <c r="E801" s="2" t="str">
        <f>_xlfn.XLOOKUP(Cat_SKU[[#This Row],[Item]],CAT_MOD_v31[NÚMERO DE ARTÍCULO (SAP)],CAT_MOD_v31[RESUMIDO],"",0)</f>
        <v>Pulsar NS160</v>
      </c>
      <c r="F801" s="2" t="str">
        <f>_xlfn.XLOOKUP(Cat_SKU[[#This Row],[Item]],CAT_MOD_v31[NÚMERO DE ARTÍCULO (SAP)],CAT_MOD_v31[COLOR],"",0)</f>
        <v>Gris</v>
      </c>
      <c r="G801" s="2">
        <f>_xlfn.XLOOKUP(Cat_SKU[[#This Row],[Item]],CAT_MOD_v31[NÚMERO DE ARTÍCULO (SAP)],CAT_MOD_v31[AÑO],"",0)</f>
        <v>2022</v>
      </c>
    </row>
    <row r="802" spans="1:7" x14ac:dyDescent="0.35">
      <c r="A802" t="s">
        <v>155</v>
      </c>
      <c r="B802" s="1">
        <v>5006675061</v>
      </c>
      <c r="C802" t="s">
        <v>777</v>
      </c>
      <c r="D802" t="s">
        <v>322</v>
      </c>
      <c r="E802" s="2" t="str">
        <f>_xlfn.XLOOKUP(Cat_SKU[[#This Row],[Item]],CAT_MOD_v31[NÚMERO DE ARTÍCULO (SAP)],CAT_MOD_v31[RESUMIDO],"",0)</f>
        <v>Pulsar NS160</v>
      </c>
      <c r="F802" s="2" t="str">
        <f>_xlfn.XLOOKUP(Cat_SKU[[#This Row],[Item]],CAT_MOD_v31[NÚMERO DE ARTÍCULO (SAP)],CAT_MOD_v31[COLOR],"",0)</f>
        <v>Azul</v>
      </c>
      <c r="G802" s="2">
        <f>_xlfn.XLOOKUP(Cat_SKU[[#This Row],[Item]],CAT_MOD_v31[NÚMERO DE ARTÍCULO (SAP)],CAT_MOD_v31[AÑO],"",0)</f>
        <v>2022</v>
      </c>
    </row>
    <row r="803" spans="1:7" x14ac:dyDescent="0.35">
      <c r="A803" t="s">
        <v>155</v>
      </c>
      <c r="B803" s="1">
        <v>5006675079</v>
      </c>
      <c r="D803" t="s">
        <v>321</v>
      </c>
      <c r="E803" s="2" t="str">
        <f>_xlfn.XLOOKUP(Cat_SKU[[#This Row],[Item]],CAT_MOD_v31[NÚMERO DE ARTÍCULO (SAP)],CAT_MOD_v31[RESUMIDO],"",0)</f>
        <v>Dominar 250</v>
      </c>
      <c r="F803" s="2" t="str">
        <f>_xlfn.XLOOKUP(Cat_SKU[[#This Row],[Item]],CAT_MOD_v31[NÚMERO DE ARTÍCULO (SAP)],CAT_MOD_v31[COLOR],"",0)</f>
        <v>Rojo</v>
      </c>
      <c r="G803" s="2">
        <f>_xlfn.XLOOKUP(Cat_SKU[[#This Row],[Item]],CAT_MOD_v31[NÚMERO DE ARTÍCULO (SAP)],CAT_MOD_v31[AÑO],"",0)</f>
        <v>2022</v>
      </c>
    </row>
    <row r="804" spans="1:7" x14ac:dyDescent="0.35">
      <c r="A804" t="s">
        <v>155</v>
      </c>
      <c r="B804" s="1">
        <v>5007332621</v>
      </c>
      <c r="D804" t="s">
        <v>334</v>
      </c>
      <c r="E804" s="2" t="str">
        <f>_xlfn.XLOOKUP(Cat_SKU[[#This Row],[Item]],CAT_MOD_v31[NÚMERO DE ARTÍCULO (SAP)],CAT_MOD_v31[RESUMIDO],"",0)</f>
        <v>Pulsar NS160</v>
      </c>
      <c r="F804" s="2" t="str">
        <f>_xlfn.XLOOKUP(Cat_SKU[[#This Row],[Item]],CAT_MOD_v31[NÚMERO DE ARTÍCULO (SAP)],CAT_MOD_v31[COLOR],"",0)</f>
        <v>Perla</v>
      </c>
      <c r="G804" s="2">
        <f>_xlfn.XLOOKUP(Cat_SKU[[#This Row],[Item]],CAT_MOD_v31[NÚMERO DE ARTÍCULO (SAP)],CAT_MOD_v31[AÑO],"",0)</f>
        <v>2023</v>
      </c>
    </row>
    <row r="805" spans="1:7" x14ac:dyDescent="0.35">
      <c r="A805" t="s">
        <v>155</v>
      </c>
      <c r="B805" s="1">
        <v>5007332639</v>
      </c>
      <c r="D805" t="s">
        <v>333</v>
      </c>
      <c r="E805" s="2" t="str">
        <f>_xlfn.XLOOKUP(Cat_SKU[[#This Row],[Item]],CAT_MOD_v31[NÚMERO DE ARTÍCULO (SAP)],CAT_MOD_v31[RESUMIDO],"",0)</f>
        <v>Pulsar NS160</v>
      </c>
      <c r="F805" s="2" t="str">
        <f>_xlfn.XLOOKUP(Cat_SKU[[#This Row],[Item]],CAT_MOD_v31[NÚMERO DE ARTÍCULO (SAP)],CAT_MOD_v31[COLOR],"",0)</f>
        <v>Azul</v>
      </c>
      <c r="G805" s="2">
        <f>_xlfn.XLOOKUP(Cat_SKU[[#This Row],[Item]],CAT_MOD_v31[NÚMERO DE ARTÍCULO (SAP)],CAT_MOD_v31[AÑO],"",0)</f>
        <v>2023</v>
      </c>
    </row>
    <row r="806" spans="1:7" x14ac:dyDescent="0.35">
      <c r="A806" t="s">
        <v>155</v>
      </c>
      <c r="B806" s="1">
        <v>5007332647</v>
      </c>
      <c r="D806" t="s">
        <v>335</v>
      </c>
      <c r="E806" s="2" t="str">
        <f>_xlfn.XLOOKUP(Cat_SKU[[#This Row],[Item]],CAT_MOD_v31[NÚMERO DE ARTÍCULO (SAP)],CAT_MOD_v31[RESUMIDO],"",0)</f>
        <v>Pulsar NS160</v>
      </c>
      <c r="F806" s="2" t="str">
        <f>_xlfn.XLOOKUP(Cat_SKU[[#This Row],[Item]],CAT_MOD_v31[NÚMERO DE ARTÍCULO (SAP)],CAT_MOD_v31[COLOR],"",0)</f>
        <v>Gris</v>
      </c>
      <c r="G806" s="2">
        <f>_xlfn.XLOOKUP(Cat_SKU[[#This Row],[Item]],CAT_MOD_v31[NÚMERO DE ARTÍCULO (SAP)],CAT_MOD_v31[AÑO],"",0)</f>
        <v>2023</v>
      </c>
    </row>
    <row r="807" spans="1:7" x14ac:dyDescent="0.35">
      <c r="A807" t="s">
        <v>155</v>
      </c>
      <c r="B807" s="1">
        <v>5007333694</v>
      </c>
      <c r="C807" t="s">
        <v>784</v>
      </c>
      <c r="D807" t="s">
        <v>823</v>
      </c>
      <c r="E807" s="2" t="str">
        <f>_xlfn.XLOOKUP(Cat_SKU[[#This Row],[Item]],CAT_MOD_v31[NÚMERO DE ARTÍCULO (SAP)],CAT_MOD_v31[RESUMIDO],"",0)</f>
        <v>Dominar 250</v>
      </c>
      <c r="F807" s="2" t="str">
        <f>_xlfn.XLOOKUP(Cat_SKU[[#This Row],[Item]],CAT_MOD_v31[NÚMERO DE ARTÍCULO (SAP)],CAT_MOD_v31[COLOR],"",0)</f>
        <v>Negro</v>
      </c>
      <c r="G807" s="2">
        <f>_xlfn.XLOOKUP(Cat_SKU[[#This Row],[Item]],CAT_MOD_v31[NÚMERO DE ARTÍCULO (SAP)],CAT_MOD_v31[AÑO],"",0)</f>
        <v>2022</v>
      </c>
    </row>
    <row r="808" spans="1:7" x14ac:dyDescent="0.35">
      <c r="A808" t="s">
        <v>155</v>
      </c>
      <c r="B808" s="1">
        <v>5007333775</v>
      </c>
      <c r="D808" t="s">
        <v>319</v>
      </c>
      <c r="E808" s="2" t="str">
        <f>_xlfn.XLOOKUP(Cat_SKU[[#This Row],[Item]],CAT_MOD_v31[NÚMERO DE ARTÍCULO (SAP)],CAT_MOD_v31[RESUMIDO],"",0)</f>
        <v>Avenger Cruise 220</v>
      </c>
      <c r="F808" s="2" t="str">
        <f>_xlfn.XLOOKUP(Cat_SKU[[#This Row],[Item]],CAT_MOD_v31[NÚMERO DE ARTÍCULO (SAP)],CAT_MOD_v31[COLOR],"",0)</f>
        <v>Negro</v>
      </c>
      <c r="G808" s="2">
        <f>_xlfn.XLOOKUP(Cat_SKU[[#This Row],[Item]],CAT_MOD_v31[NÚMERO DE ARTÍCULO (SAP)],CAT_MOD_v31[AÑO],"",0)</f>
        <v>2022</v>
      </c>
    </row>
    <row r="809" spans="1:7" x14ac:dyDescent="0.35">
      <c r="A809" t="s">
        <v>155</v>
      </c>
      <c r="B809" s="1">
        <v>5007333791</v>
      </c>
      <c r="C809" t="s">
        <v>818</v>
      </c>
      <c r="D809" t="s">
        <v>834</v>
      </c>
      <c r="E809" s="2" t="str">
        <f>_xlfn.XLOOKUP(Cat_SKU[[#This Row],[Item]],CAT_MOD_v31[NÚMERO DE ARTÍCULO (SAP)],CAT_MOD_v31[RESUMIDO],"",0)</f>
        <v>Platina 125</v>
      </c>
      <c r="F809" s="2" t="str">
        <f>_xlfn.XLOOKUP(Cat_SKU[[#This Row],[Item]],CAT_MOD_v31[NÚMERO DE ARTÍCULO (SAP)],CAT_MOD_v31[COLOR],"",0)</f>
        <v>Rojo</v>
      </c>
      <c r="G809" s="2">
        <f>_xlfn.XLOOKUP(Cat_SKU[[#This Row],[Item]],CAT_MOD_v31[NÚMERO DE ARTÍCULO (SAP)],CAT_MOD_v31[AÑO],"",0)</f>
        <v>2021</v>
      </c>
    </row>
    <row r="810" spans="1:7" x14ac:dyDescent="0.35">
      <c r="A810" t="s">
        <v>155</v>
      </c>
      <c r="B810" s="1">
        <v>5007333864</v>
      </c>
      <c r="C810" t="s">
        <v>775</v>
      </c>
      <c r="D810" t="s">
        <v>368</v>
      </c>
      <c r="E810" s="2" t="str">
        <f>_xlfn.XLOOKUP(Cat_SKU[[#This Row],[Item]],CAT_MOD_v31[NÚMERO DE ARTÍCULO (SAP)],CAT_MOD_v31[RESUMIDO],"",0)</f>
        <v>Avenger Cruise 220</v>
      </c>
      <c r="F810" s="2" t="str">
        <f>_xlfn.XLOOKUP(Cat_SKU[[#This Row],[Item]],CAT_MOD_v31[NÚMERO DE ARTÍCULO (SAP)],CAT_MOD_v31[COLOR],"",0)</f>
        <v>Negro</v>
      </c>
      <c r="G810" s="2">
        <f>_xlfn.XLOOKUP(Cat_SKU[[#This Row],[Item]],CAT_MOD_v31[NÚMERO DE ARTÍCULO (SAP)],CAT_MOD_v31[AÑO],"",0)</f>
        <v>2023</v>
      </c>
    </row>
    <row r="811" spans="1:7" x14ac:dyDescent="0.35">
      <c r="A811" t="s">
        <v>155</v>
      </c>
      <c r="B811" s="1">
        <v>5007333881</v>
      </c>
      <c r="D811" t="s">
        <v>337</v>
      </c>
      <c r="E811" s="2" t="str">
        <f>_xlfn.XLOOKUP(Cat_SKU[[#This Row],[Item]],CAT_MOD_v31[NÚMERO DE ARTÍCULO (SAP)],CAT_MOD_v31[RESUMIDO],"",0)</f>
        <v>Pulsar N250 FI ABS</v>
      </c>
      <c r="F811" s="2" t="str">
        <f>_xlfn.XLOOKUP(Cat_SKU[[#This Row],[Item]],CAT_MOD_v31[NÚMERO DE ARTÍCULO (SAP)],CAT_MOD_v31[COLOR],"",0)</f>
        <v>Negro</v>
      </c>
      <c r="G811" s="2">
        <f>_xlfn.XLOOKUP(Cat_SKU[[#This Row],[Item]],CAT_MOD_v31[NÚMERO DE ARTÍCULO (SAP)],CAT_MOD_v31[AÑO],"",0)</f>
        <v>2023</v>
      </c>
    </row>
    <row r="812" spans="1:7" x14ac:dyDescent="0.35">
      <c r="A812" t="s">
        <v>155</v>
      </c>
      <c r="B812" s="1">
        <v>5007333996</v>
      </c>
      <c r="D812" t="s">
        <v>328</v>
      </c>
      <c r="E812" s="2" t="str">
        <f>_xlfn.XLOOKUP(Cat_SKU[[#This Row],[Item]],CAT_MOD_v31[NÚMERO DE ARTÍCULO (SAP)],CAT_MOD_v31[RESUMIDO],"",0)</f>
        <v>Boxer BM150</v>
      </c>
      <c r="F812" s="2" t="str">
        <f>_xlfn.XLOOKUP(Cat_SKU[[#This Row],[Item]],CAT_MOD_v31[NÚMERO DE ARTÍCULO (SAP)],CAT_MOD_v31[COLOR],"",0)</f>
        <v>Blanco</v>
      </c>
      <c r="G812" s="2">
        <f>_xlfn.XLOOKUP(Cat_SKU[[#This Row],[Item]],CAT_MOD_v31[NÚMERO DE ARTÍCULO (SAP)],CAT_MOD_v31[AÑO],"",0)</f>
        <v>2023</v>
      </c>
    </row>
    <row r="813" spans="1:7" x14ac:dyDescent="0.35">
      <c r="A813" t="s">
        <v>155</v>
      </c>
      <c r="B813" s="1">
        <v>5007334011</v>
      </c>
      <c r="D813" t="s">
        <v>320</v>
      </c>
      <c r="E813" s="2" t="str">
        <f>_xlfn.XLOOKUP(Cat_SKU[[#This Row],[Item]],CAT_MOD_v31[NÚMERO DE ARTÍCULO (SAP)],CAT_MOD_v31[RESUMIDO],"",0)</f>
        <v>Boxer BM150</v>
      </c>
      <c r="F813" s="2" t="str">
        <f>_xlfn.XLOOKUP(Cat_SKU[[#This Row],[Item]],CAT_MOD_v31[NÚMERO DE ARTÍCULO (SAP)],CAT_MOD_v31[COLOR],"",0)</f>
        <v>Blanco</v>
      </c>
      <c r="G813" s="2">
        <f>_xlfn.XLOOKUP(Cat_SKU[[#This Row],[Item]],CAT_MOD_v31[NÚMERO DE ARTÍCULO (SAP)],CAT_MOD_v31[AÑO],"",0)</f>
        <v>2022</v>
      </c>
    </row>
    <row r="814" spans="1:7" x14ac:dyDescent="0.35">
      <c r="A814" t="s">
        <v>155</v>
      </c>
      <c r="B814" s="1">
        <v>5007334038</v>
      </c>
      <c r="D814" t="s">
        <v>338</v>
      </c>
      <c r="E814" s="2" t="str">
        <f>_xlfn.XLOOKUP(Cat_SKU[[#This Row],[Item]],CAT_MOD_v31[NÚMERO DE ARTÍCULO (SAP)],CAT_MOD_v31[RESUMIDO],"",0)</f>
        <v>Pulsar LS125</v>
      </c>
      <c r="F814" s="2" t="str">
        <f>_xlfn.XLOOKUP(Cat_SKU[[#This Row],[Item]],CAT_MOD_v31[NÚMERO DE ARTÍCULO (SAP)],CAT_MOD_v31[COLOR],"",0)</f>
        <v>Amarillo</v>
      </c>
      <c r="G814" s="2">
        <f>_xlfn.XLOOKUP(Cat_SKU[[#This Row],[Item]],CAT_MOD_v31[NÚMERO DE ARTÍCULO (SAP)],CAT_MOD_v31[AÑO],"",0)</f>
        <v>2023</v>
      </c>
    </row>
    <row r="815" spans="1:7" x14ac:dyDescent="0.35">
      <c r="A815" t="s">
        <v>155</v>
      </c>
      <c r="B815" s="1">
        <v>5007334101</v>
      </c>
      <c r="D815" t="s">
        <v>323</v>
      </c>
      <c r="E815" s="2" t="str">
        <f>_xlfn.XLOOKUP(Cat_SKU[[#This Row],[Item]],CAT_MOD_v31[NÚMERO DE ARTÍCULO (SAP)],CAT_MOD_v31[RESUMIDO],"",0)</f>
        <v>Pulsar LS125</v>
      </c>
      <c r="F815" s="2" t="str">
        <f>_xlfn.XLOOKUP(Cat_SKU[[#This Row],[Item]],CAT_MOD_v31[NÚMERO DE ARTÍCULO (SAP)],CAT_MOD_v31[COLOR],"",0)</f>
        <v>Negro</v>
      </c>
      <c r="G815" s="2">
        <f>_xlfn.XLOOKUP(Cat_SKU[[#This Row],[Item]],CAT_MOD_v31[NÚMERO DE ARTÍCULO (SAP)],CAT_MOD_v31[AÑO],"",0)</f>
        <v>2022</v>
      </c>
    </row>
    <row r="816" spans="1:7" x14ac:dyDescent="0.35">
      <c r="A816" t="s">
        <v>155</v>
      </c>
      <c r="B816" s="1">
        <v>5007334194</v>
      </c>
      <c r="C816" t="s">
        <v>780</v>
      </c>
      <c r="D816" t="s">
        <v>398</v>
      </c>
      <c r="E816" s="2" t="str">
        <f>_xlfn.XLOOKUP(Cat_SKU[[#This Row],[Item]],CAT_MOD_v31[NÚMERO DE ARTÍCULO (SAP)],CAT_MOD_v31[RESUMIDO],"",0)</f>
        <v>Pulsar LS125</v>
      </c>
      <c r="F816" s="2" t="str">
        <f>_xlfn.XLOOKUP(Cat_SKU[[#This Row],[Item]],CAT_MOD_v31[NÚMERO DE ARTÍCULO (SAP)],CAT_MOD_v31[COLOR],"",0)</f>
        <v>Amarillo</v>
      </c>
      <c r="G816" s="2">
        <f>_xlfn.XLOOKUP(Cat_SKU[[#This Row],[Item]],CAT_MOD_v31[NÚMERO DE ARTÍCULO (SAP)],CAT_MOD_v31[AÑO],"",0)</f>
        <v>2022</v>
      </c>
    </row>
    <row r="817" spans="1:7" x14ac:dyDescent="0.35">
      <c r="A817" t="s">
        <v>155</v>
      </c>
      <c r="B817" s="1">
        <v>5007334216</v>
      </c>
      <c r="D817" t="s">
        <v>322</v>
      </c>
      <c r="E817" s="2" t="str">
        <f>_xlfn.XLOOKUP(Cat_SKU[[#This Row],[Item]],CAT_MOD_v31[NÚMERO DE ARTÍCULO (SAP)],CAT_MOD_v31[RESUMIDO],"",0)</f>
        <v>Pulsar NS160</v>
      </c>
      <c r="F817" s="2" t="str">
        <f>_xlfn.XLOOKUP(Cat_SKU[[#This Row],[Item]],CAT_MOD_v31[NÚMERO DE ARTÍCULO (SAP)],CAT_MOD_v31[COLOR],"",0)</f>
        <v>Azul</v>
      </c>
      <c r="G817" s="2">
        <f>_xlfn.XLOOKUP(Cat_SKU[[#This Row],[Item]],CAT_MOD_v31[NÚMERO DE ARTÍCULO (SAP)],CAT_MOD_v31[AÑO],"",0)</f>
        <v>2022</v>
      </c>
    </row>
    <row r="818" spans="1:7" x14ac:dyDescent="0.35">
      <c r="A818" t="s">
        <v>155</v>
      </c>
      <c r="B818" s="1">
        <v>5007334313</v>
      </c>
      <c r="C818" t="s">
        <v>777</v>
      </c>
      <c r="D818" t="s">
        <v>843</v>
      </c>
      <c r="E818" s="2" t="str">
        <f>_xlfn.XLOOKUP(Cat_SKU[[#This Row],[Item]],CAT_MOD_v31[NÚMERO DE ARTÍCULO (SAP)],CAT_MOD_v31[RESUMIDO],"",0)</f>
        <v>Pulsar NS160</v>
      </c>
      <c r="F818" s="2" t="str">
        <f>_xlfn.XLOOKUP(Cat_SKU[[#This Row],[Item]],CAT_MOD_v31[NÚMERO DE ARTÍCULO (SAP)],CAT_MOD_v31[COLOR],"",0)</f>
        <v>Gris</v>
      </c>
      <c r="G818" s="2">
        <f>_xlfn.XLOOKUP(Cat_SKU[[#This Row],[Item]],CAT_MOD_v31[NÚMERO DE ARTÍCULO (SAP)],CAT_MOD_v31[AÑO],"",0)</f>
        <v>2022</v>
      </c>
    </row>
    <row r="819" spans="1:7" x14ac:dyDescent="0.35">
      <c r="A819" t="s">
        <v>155</v>
      </c>
      <c r="B819" s="1">
        <v>5007334488</v>
      </c>
      <c r="D819" t="s">
        <v>343</v>
      </c>
      <c r="E819" s="2" t="str">
        <f>_xlfn.XLOOKUP(Cat_SKU[[#This Row],[Item]],CAT_MOD_v31[NÚMERO DE ARTÍCULO (SAP)],CAT_MOD_v31[RESUMIDO],"",0)</f>
        <v>Dominar 250</v>
      </c>
      <c r="F819" s="2" t="str">
        <f>_xlfn.XLOOKUP(Cat_SKU[[#This Row],[Item]],CAT_MOD_v31[NÚMERO DE ARTÍCULO (SAP)],CAT_MOD_v31[COLOR],"",0)</f>
        <v>Rojo</v>
      </c>
      <c r="G819" s="2">
        <f>_xlfn.XLOOKUP(Cat_SKU[[#This Row],[Item]],CAT_MOD_v31[NÚMERO DE ARTÍCULO (SAP)],CAT_MOD_v31[AÑO],"",0)</f>
        <v>2023</v>
      </c>
    </row>
    <row r="820" spans="1:7" x14ac:dyDescent="0.35">
      <c r="A820" t="s">
        <v>155</v>
      </c>
      <c r="B820" s="1">
        <v>5007334496</v>
      </c>
      <c r="D820" t="s">
        <v>329</v>
      </c>
      <c r="E820" s="2" t="str">
        <f>_xlfn.XLOOKUP(Cat_SKU[[#This Row],[Item]],CAT_MOD_v31[NÚMERO DE ARTÍCULO (SAP)],CAT_MOD_v31[RESUMIDO],"",0)</f>
        <v>Dominar 250</v>
      </c>
      <c r="F820" s="2" t="str">
        <f>_xlfn.XLOOKUP(Cat_SKU[[#This Row],[Item]],CAT_MOD_v31[NÚMERO DE ARTÍCULO (SAP)],CAT_MOD_v31[COLOR],"",0)</f>
        <v>Negro</v>
      </c>
      <c r="G820" s="2">
        <f>_xlfn.XLOOKUP(Cat_SKU[[#This Row],[Item]],CAT_MOD_v31[NÚMERO DE ARTÍCULO (SAP)],CAT_MOD_v31[AÑO],"",0)</f>
        <v>2023</v>
      </c>
    </row>
    <row r="821" spans="1:7" x14ac:dyDescent="0.35">
      <c r="A821" t="s">
        <v>155</v>
      </c>
      <c r="B821" s="1">
        <v>5007334569</v>
      </c>
      <c r="C821" t="s">
        <v>780</v>
      </c>
      <c r="D821" t="s">
        <v>835</v>
      </c>
      <c r="E821" s="2" t="str">
        <f>_xlfn.XLOOKUP(Cat_SKU[[#This Row],[Item]],CAT_MOD_v31[NÚMERO DE ARTÍCULO (SAP)],CAT_MOD_v31[RESUMIDO],"",0)</f>
        <v>Pulsar LS125</v>
      </c>
      <c r="F821" s="2" t="str">
        <f>_xlfn.XLOOKUP(Cat_SKU[[#This Row],[Item]],CAT_MOD_v31[NÚMERO DE ARTÍCULO (SAP)],CAT_MOD_v31[COLOR],"",0)</f>
        <v>Amarillo</v>
      </c>
      <c r="G821" s="2">
        <f>_xlfn.XLOOKUP(Cat_SKU[[#This Row],[Item]],CAT_MOD_v31[NÚMERO DE ARTÍCULO (SAP)],CAT_MOD_v31[AÑO],"",0)</f>
        <v>2019</v>
      </c>
    </row>
    <row r="822" spans="1:7" x14ac:dyDescent="0.35">
      <c r="A822" t="s">
        <v>155</v>
      </c>
      <c r="B822" s="1">
        <v>5007334607</v>
      </c>
      <c r="D822" t="s">
        <v>327</v>
      </c>
      <c r="E822" s="2" t="str">
        <f>_xlfn.XLOOKUP(Cat_SKU[[#This Row],[Item]],CAT_MOD_v31[NÚMERO DE ARTÍCULO (SAP)],CAT_MOD_v31[RESUMIDO],"",0)</f>
        <v>Boxer BM150</v>
      </c>
      <c r="F822" s="2" t="str">
        <f>_xlfn.XLOOKUP(Cat_SKU[[#This Row],[Item]],CAT_MOD_v31[NÚMERO DE ARTÍCULO (SAP)],CAT_MOD_v31[COLOR],"",0)</f>
        <v>Negro</v>
      </c>
      <c r="G822" s="2">
        <f>_xlfn.XLOOKUP(Cat_SKU[[#This Row],[Item]],CAT_MOD_v31[NÚMERO DE ARTÍCULO (SAP)],CAT_MOD_v31[AÑO],"",0)</f>
        <v>2023</v>
      </c>
    </row>
    <row r="823" spans="1:7" x14ac:dyDescent="0.35">
      <c r="A823" t="s">
        <v>155</v>
      </c>
      <c r="B823" s="1">
        <v>5007334623</v>
      </c>
      <c r="D823" t="s">
        <v>330</v>
      </c>
      <c r="E823" s="2" t="str">
        <f>_xlfn.XLOOKUP(Cat_SKU[[#This Row],[Item]],CAT_MOD_v31[NÚMERO DE ARTÍCULO (SAP)],CAT_MOD_v31[RESUMIDO],"",0)</f>
        <v>Dominar 400</v>
      </c>
      <c r="F823" s="2" t="str">
        <f>_xlfn.XLOOKUP(Cat_SKU[[#This Row],[Item]],CAT_MOD_v31[NÚMERO DE ARTÍCULO (SAP)],CAT_MOD_v31[COLOR],"",0)</f>
        <v>Negro</v>
      </c>
      <c r="G823" s="2">
        <f>_xlfn.XLOOKUP(Cat_SKU[[#This Row],[Item]],CAT_MOD_v31[NÚMERO DE ARTÍCULO (SAP)],CAT_MOD_v31[AÑO],"",0)</f>
        <v>2023</v>
      </c>
    </row>
    <row r="824" spans="1:7" x14ac:dyDescent="0.35">
      <c r="A824" t="s">
        <v>155</v>
      </c>
      <c r="B824" s="1">
        <v>5007334631</v>
      </c>
      <c r="D824" t="s">
        <v>331</v>
      </c>
      <c r="E824" s="2" t="str">
        <f>_xlfn.XLOOKUP(Cat_SKU[[#This Row],[Item]],CAT_MOD_v31[NÚMERO DE ARTÍCULO (SAP)],CAT_MOD_v31[RESUMIDO],"",0)</f>
        <v>Dominar 400</v>
      </c>
      <c r="F824" s="2" t="str">
        <f>_xlfn.XLOOKUP(Cat_SKU[[#This Row],[Item]],CAT_MOD_v31[NÚMERO DE ARTÍCULO (SAP)],CAT_MOD_v31[COLOR],"",0)</f>
        <v>Verde</v>
      </c>
      <c r="G824" s="2">
        <f>_xlfn.XLOOKUP(Cat_SKU[[#This Row],[Item]],CAT_MOD_v31[NÚMERO DE ARTÍCULO (SAP)],CAT_MOD_v31[AÑO],"",0)</f>
        <v>2023</v>
      </c>
    </row>
    <row r="825" spans="1:7" x14ac:dyDescent="0.35">
      <c r="A825" t="s">
        <v>155</v>
      </c>
      <c r="B825" s="1">
        <v>5007334780</v>
      </c>
      <c r="C825" t="s">
        <v>776</v>
      </c>
      <c r="D825" t="s">
        <v>816</v>
      </c>
      <c r="E825" s="2" t="str">
        <f>_xlfn.XLOOKUP(Cat_SKU[[#This Row],[Item]],CAT_MOD_v31[NÚMERO DE ARTÍCULO (SAP)],CAT_MOD_v31[RESUMIDO],"",0)</f>
        <v>Pulsar NS200</v>
      </c>
      <c r="F825" s="2" t="str">
        <f>_xlfn.XLOOKUP(Cat_SKU[[#This Row],[Item]],CAT_MOD_v31[NÚMERO DE ARTÍCULO (SAP)],CAT_MOD_v31[COLOR],"",0)</f>
        <v>Negro</v>
      </c>
      <c r="G825" s="2">
        <f>_xlfn.XLOOKUP(Cat_SKU[[#This Row],[Item]],CAT_MOD_v31[NÚMERO DE ARTÍCULO (SAP)],CAT_MOD_v31[AÑO],"",0)</f>
        <v>2019</v>
      </c>
    </row>
    <row r="826" spans="1:7" x14ac:dyDescent="0.35">
      <c r="A826" t="s">
        <v>155</v>
      </c>
      <c r="B826" s="1">
        <v>5007334925</v>
      </c>
      <c r="D826" t="s">
        <v>318</v>
      </c>
      <c r="E826" s="2" t="str">
        <f>_xlfn.XLOOKUP(Cat_SKU[[#This Row],[Item]],CAT_MOD_v31[NÚMERO DE ARTÍCULO (SAP)],CAT_MOD_v31[RESUMIDO],"",0)</f>
        <v>Pulsar NS160</v>
      </c>
      <c r="F826" s="2" t="str">
        <f>_xlfn.XLOOKUP(Cat_SKU[[#This Row],[Item]],CAT_MOD_v31[NÚMERO DE ARTÍCULO (SAP)],CAT_MOD_v31[COLOR],"",0)</f>
        <v>Negro</v>
      </c>
      <c r="G826" s="2">
        <f>_xlfn.XLOOKUP(Cat_SKU[[#This Row],[Item]],CAT_MOD_v31[NÚMERO DE ARTÍCULO (SAP)],CAT_MOD_v31[AÑO],"",0)</f>
        <v>2021</v>
      </c>
    </row>
    <row r="827" spans="1:7" x14ac:dyDescent="0.35">
      <c r="A827" t="s">
        <v>155</v>
      </c>
      <c r="B827" s="1">
        <v>5007335166</v>
      </c>
      <c r="D827" t="s">
        <v>342</v>
      </c>
      <c r="E827" s="2" t="str">
        <f>_xlfn.XLOOKUP(Cat_SKU[[#This Row],[Item]],CAT_MOD_v31[NÚMERO DE ARTÍCULO (SAP)],CAT_MOD_v31[RESUMIDO],"",0)</f>
        <v>Pulsar NS200</v>
      </c>
      <c r="F827" s="2" t="str">
        <f>_xlfn.XLOOKUP(Cat_SKU[[#This Row],[Item]],CAT_MOD_v31[NÚMERO DE ARTÍCULO (SAP)],CAT_MOD_v31[COLOR],"",0)</f>
        <v>Perla</v>
      </c>
      <c r="G827" s="2">
        <f>_xlfn.XLOOKUP(Cat_SKU[[#This Row],[Item]],CAT_MOD_v31[NÚMERO DE ARTÍCULO (SAP)],CAT_MOD_v31[AÑO],"",0)</f>
        <v>2023</v>
      </c>
    </row>
    <row r="828" spans="1:7" x14ac:dyDescent="0.35">
      <c r="A828" t="s">
        <v>155</v>
      </c>
      <c r="B828" s="1">
        <v>5007335174</v>
      </c>
      <c r="D828" t="s">
        <v>317</v>
      </c>
      <c r="E828" s="2" t="str">
        <f>_xlfn.XLOOKUP(Cat_SKU[[#This Row],[Item]],CAT_MOD_v31[NÚMERO DE ARTÍCULO (SAP)],CAT_MOD_v31[RESUMIDO],"",0)</f>
        <v>Pulsar NS200</v>
      </c>
      <c r="F828" s="2" t="str">
        <f>_xlfn.XLOOKUP(Cat_SKU[[#This Row],[Item]],CAT_MOD_v31[NÚMERO DE ARTÍCULO (SAP)],CAT_MOD_v31[COLOR],"",0)</f>
        <v>Gris</v>
      </c>
      <c r="G828" s="2">
        <f>_xlfn.XLOOKUP(Cat_SKU[[#This Row],[Item]],CAT_MOD_v31[NÚMERO DE ARTÍCULO (SAP)],CAT_MOD_v31[AÑO],"",0)</f>
        <v>2023</v>
      </c>
    </row>
    <row r="829" spans="1:7" x14ac:dyDescent="0.35">
      <c r="A829" t="s">
        <v>155</v>
      </c>
      <c r="B829" s="1">
        <v>5007335182</v>
      </c>
      <c r="D829" t="s">
        <v>344</v>
      </c>
      <c r="E829" s="2" t="str">
        <f>_xlfn.XLOOKUP(Cat_SKU[[#This Row],[Item]],CAT_MOD_v31[NÚMERO DE ARTÍCULO (SAP)],CAT_MOD_v31[RESUMIDO],"",0)</f>
        <v>Pulsar NS200</v>
      </c>
      <c r="F829" s="2" t="str">
        <f>_xlfn.XLOOKUP(Cat_SKU[[#This Row],[Item]],CAT_MOD_v31[NÚMERO DE ARTÍCULO (SAP)],CAT_MOD_v31[COLOR],"",0)</f>
        <v>Rojo</v>
      </c>
      <c r="G829" s="2">
        <f>_xlfn.XLOOKUP(Cat_SKU[[#This Row],[Item]],CAT_MOD_v31[NÚMERO DE ARTÍCULO (SAP)],CAT_MOD_v31[AÑO],"",0)</f>
        <v>2023</v>
      </c>
    </row>
    <row r="830" spans="1:7" x14ac:dyDescent="0.35">
      <c r="A830" t="s">
        <v>155</v>
      </c>
      <c r="B830" s="1">
        <v>5007335221</v>
      </c>
      <c r="C830" t="s">
        <v>776</v>
      </c>
      <c r="D830" t="s">
        <v>393</v>
      </c>
      <c r="E830" s="2" t="str">
        <f>_xlfn.XLOOKUP(Cat_SKU[[#This Row],[Item]],CAT_MOD_v31[NÚMERO DE ARTÍCULO (SAP)],CAT_MOD_v31[RESUMIDO],"",0)</f>
        <v>Pulsar 200 FI</v>
      </c>
      <c r="F830" s="2" t="str">
        <f>_xlfn.XLOOKUP(Cat_SKU[[#This Row],[Item]],CAT_MOD_v31[NÚMERO DE ARTÍCULO (SAP)],CAT_MOD_v31[COLOR],"",0)</f>
        <v>Rojo</v>
      </c>
      <c r="G830" s="2">
        <f>_xlfn.XLOOKUP(Cat_SKU[[#This Row],[Item]],CAT_MOD_v31[NÚMERO DE ARTÍCULO (SAP)],CAT_MOD_v31[AÑO],"",0)</f>
        <v>2022</v>
      </c>
    </row>
    <row r="831" spans="1:7" x14ac:dyDescent="0.35">
      <c r="A831" t="s">
        <v>155</v>
      </c>
      <c r="B831" s="1">
        <v>5007335239</v>
      </c>
      <c r="C831" t="s">
        <v>776</v>
      </c>
      <c r="D831" t="s">
        <v>586</v>
      </c>
      <c r="E831" s="2" t="str">
        <f>_xlfn.XLOOKUP(Cat_SKU[[#This Row],[Item]],CAT_MOD_v31[NÚMERO DE ARTÍCULO (SAP)],CAT_MOD_v31[RESUMIDO],"",0)</f>
        <v>Pulsar 200 FI</v>
      </c>
      <c r="F831" s="2" t="str">
        <f>_xlfn.XLOOKUP(Cat_SKU[[#This Row],[Item]],CAT_MOD_v31[NÚMERO DE ARTÍCULO (SAP)],CAT_MOD_v31[COLOR],"",0)</f>
        <v>Gris</v>
      </c>
      <c r="G831" s="2">
        <f>_xlfn.XLOOKUP(Cat_SKU[[#This Row],[Item]],CAT_MOD_v31[NÚMERO DE ARTÍCULO (SAP)],CAT_MOD_v31[AÑO],"",0)</f>
        <v>2022</v>
      </c>
    </row>
    <row r="832" spans="1:7" x14ac:dyDescent="0.35">
      <c r="A832" t="s">
        <v>155</v>
      </c>
      <c r="B832" s="1">
        <v>5007335328</v>
      </c>
      <c r="C832" t="s">
        <v>776</v>
      </c>
      <c r="D832" t="s">
        <v>845</v>
      </c>
      <c r="E832" s="2" t="str">
        <f>_xlfn.XLOOKUP(Cat_SKU[[#This Row],[Item]],CAT_MOD_v31[NÚMERO DE ARTÍCULO (SAP)],CAT_MOD_v31[RESUMIDO],"",0)</f>
        <v>Pulsar 200 FI</v>
      </c>
      <c r="F832" s="2" t="str">
        <f>_xlfn.XLOOKUP(Cat_SKU[[#This Row],[Item]],CAT_MOD_v31[NÚMERO DE ARTÍCULO (SAP)],CAT_MOD_v31[COLOR],"",0)</f>
        <v>Negro</v>
      </c>
      <c r="G832" s="2">
        <f>_xlfn.XLOOKUP(Cat_SKU[[#This Row],[Item]],CAT_MOD_v31[NÚMERO DE ARTÍCULO (SAP)],CAT_MOD_v31[AÑO],"",0)</f>
        <v>2023</v>
      </c>
    </row>
    <row r="833" spans="1:7" x14ac:dyDescent="0.35">
      <c r="A833" t="s">
        <v>155</v>
      </c>
      <c r="B833" s="1">
        <v>5007335336</v>
      </c>
      <c r="D833" t="s">
        <v>339</v>
      </c>
      <c r="E833" s="2" t="str">
        <f>_xlfn.XLOOKUP(Cat_SKU[[#This Row],[Item]],CAT_MOD_v31[NÚMERO DE ARTÍCULO (SAP)],CAT_MOD_v31[RESUMIDO],"",0)</f>
        <v>Pulsar 200 FI</v>
      </c>
      <c r="F833" s="2" t="str">
        <f>_xlfn.XLOOKUP(Cat_SKU[[#This Row],[Item]],CAT_MOD_v31[NÚMERO DE ARTÍCULO (SAP)],CAT_MOD_v31[COLOR],"",0)</f>
        <v>Rojo</v>
      </c>
      <c r="G833" s="2">
        <f>_xlfn.XLOOKUP(Cat_SKU[[#This Row],[Item]],CAT_MOD_v31[NÚMERO DE ARTÍCULO (SAP)],CAT_MOD_v31[AÑO],"",0)</f>
        <v>2023</v>
      </c>
    </row>
    <row r="834" spans="1:7" x14ac:dyDescent="0.35">
      <c r="A834" t="s">
        <v>155</v>
      </c>
      <c r="B834" s="1">
        <v>5007335409</v>
      </c>
      <c r="D834" t="s">
        <v>326</v>
      </c>
      <c r="E834" s="2" t="str">
        <f>_xlfn.XLOOKUP(Cat_SKU[[#This Row],[Item]],CAT_MOD_v31[NÚMERO DE ARTÍCULO (SAP)],CAT_MOD_v31[RESUMIDO],"",0)</f>
        <v>Pulsar NS200</v>
      </c>
      <c r="F834" s="2" t="str">
        <f>_xlfn.XLOOKUP(Cat_SKU[[#This Row],[Item]],CAT_MOD_v31[NÚMERO DE ARTÍCULO (SAP)],CAT_MOD_v31[COLOR],"",0)</f>
        <v>Negro</v>
      </c>
      <c r="G834" s="2">
        <f>_xlfn.XLOOKUP(Cat_SKU[[#This Row],[Item]],CAT_MOD_v31[NÚMERO DE ARTÍCULO (SAP)],CAT_MOD_v31[AÑO],"",0)</f>
        <v>2022</v>
      </c>
    </row>
    <row r="835" spans="1:7" x14ac:dyDescent="0.35">
      <c r="A835" t="s">
        <v>155</v>
      </c>
      <c r="B835" s="1">
        <v>5007335417</v>
      </c>
      <c r="C835" t="s">
        <v>776</v>
      </c>
      <c r="D835" t="s">
        <v>850</v>
      </c>
      <c r="E835" s="2" t="str">
        <f>_xlfn.XLOOKUP(Cat_SKU[[#This Row],[Item]],CAT_MOD_v31[NÚMERO DE ARTÍCULO (SAP)],CAT_MOD_v31[RESUMIDO],"",0)</f>
        <v>Pulsar NS200</v>
      </c>
      <c r="F835" s="2" t="str">
        <f>_xlfn.XLOOKUP(Cat_SKU[[#This Row],[Item]],CAT_MOD_v31[NÚMERO DE ARTÍCULO (SAP)],CAT_MOD_v31[COLOR],"",0)</f>
        <v>Perla</v>
      </c>
      <c r="G835" s="2">
        <f>_xlfn.XLOOKUP(Cat_SKU[[#This Row],[Item]],CAT_MOD_v31[NÚMERO DE ARTÍCULO (SAP)],CAT_MOD_v31[AÑO],"",0)</f>
        <v>2022</v>
      </c>
    </row>
    <row r="836" spans="1:7" x14ac:dyDescent="0.35">
      <c r="A836" t="s">
        <v>155</v>
      </c>
      <c r="B836" s="1">
        <v>5007335603</v>
      </c>
      <c r="D836" t="s">
        <v>341</v>
      </c>
      <c r="E836" s="2" t="str">
        <f>_xlfn.XLOOKUP(Cat_SKU[[#This Row],[Item]],CAT_MOD_v31[NÚMERO DE ARTÍCULO (SAP)],CAT_MOD_v31[RESUMIDO],"",0)</f>
        <v>Pulsar RS200</v>
      </c>
      <c r="F836" s="2" t="str">
        <f>_xlfn.XLOOKUP(Cat_SKU[[#This Row],[Item]],CAT_MOD_v31[NÚMERO DE ARTÍCULO (SAP)],CAT_MOD_v31[COLOR],"",0)</f>
        <v>Gris</v>
      </c>
      <c r="G836" s="2">
        <f>_xlfn.XLOOKUP(Cat_SKU[[#This Row],[Item]],CAT_MOD_v31[NÚMERO DE ARTÍCULO (SAP)],CAT_MOD_v31[AÑO],"",0)</f>
        <v>2023</v>
      </c>
    </row>
    <row r="837" spans="1:7" x14ac:dyDescent="0.35">
      <c r="A837" t="s">
        <v>155</v>
      </c>
      <c r="B837" s="1">
        <v>5007335611</v>
      </c>
      <c r="D837" t="s">
        <v>340</v>
      </c>
      <c r="E837" s="2" t="str">
        <f>_xlfn.XLOOKUP(Cat_SKU[[#This Row],[Item]],CAT_MOD_v31[NÚMERO DE ARTÍCULO (SAP)],CAT_MOD_v31[RESUMIDO],"",0)</f>
        <v>Pulsar RS200</v>
      </c>
      <c r="F837" s="2" t="str">
        <f>_xlfn.XLOOKUP(Cat_SKU[[#This Row],[Item]],CAT_MOD_v31[NÚMERO DE ARTÍCULO (SAP)],CAT_MOD_v31[COLOR],"",0)</f>
        <v>Perla</v>
      </c>
      <c r="G837" s="2">
        <f>_xlfn.XLOOKUP(Cat_SKU[[#This Row],[Item]],CAT_MOD_v31[NÚMERO DE ARTÍCULO (SAP)],CAT_MOD_v31[AÑO],"",0)</f>
        <v>2023</v>
      </c>
    </row>
    <row r="838" spans="1:7" x14ac:dyDescent="0.35">
      <c r="A838" t="s">
        <v>155</v>
      </c>
      <c r="B838" s="1">
        <v>5007337673</v>
      </c>
      <c r="D838" t="s">
        <v>325</v>
      </c>
      <c r="E838" s="2" t="str">
        <f>_xlfn.XLOOKUP(Cat_SKU[[#This Row],[Item]],CAT_MOD_v31[NÚMERO DE ARTÍCULO (SAP)],CAT_MOD_v31[RESUMIDO],"",0)</f>
        <v>Pulsar 150</v>
      </c>
      <c r="F838" s="2" t="str">
        <f>_xlfn.XLOOKUP(Cat_SKU[[#This Row],[Item]],CAT_MOD_v31[NÚMERO DE ARTÍCULO (SAP)],CAT_MOD_v31[COLOR],"",0)</f>
        <v>Negro</v>
      </c>
      <c r="G838" s="2">
        <f>_xlfn.XLOOKUP(Cat_SKU[[#This Row],[Item]],CAT_MOD_v31[NÚMERO DE ARTÍCULO (SAP)],CAT_MOD_v31[AÑO],"",0)</f>
        <v>2022</v>
      </c>
    </row>
    <row r="839" spans="1:7" x14ac:dyDescent="0.35">
      <c r="A839" t="s">
        <v>155</v>
      </c>
      <c r="B839" s="1">
        <v>5007338211</v>
      </c>
      <c r="C839" t="s">
        <v>819</v>
      </c>
      <c r="D839" t="s">
        <v>403</v>
      </c>
      <c r="E839" s="2" t="str">
        <f>_xlfn.XLOOKUP(Cat_SKU[[#This Row],[Item]],CAT_MOD_v31[NÚMERO DE ARTÍCULO (SAP)],CAT_MOD_v31[RESUMIDO],"",0)</f>
        <v>Pulsar 150</v>
      </c>
      <c r="F839" s="2" t="str">
        <f>_xlfn.XLOOKUP(Cat_SKU[[#This Row],[Item]],CAT_MOD_v31[NÚMERO DE ARTÍCULO (SAP)],CAT_MOD_v31[COLOR],"",0)</f>
        <v>Negro</v>
      </c>
      <c r="G839" s="2">
        <f>_xlfn.XLOOKUP(Cat_SKU[[#This Row],[Item]],CAT_MOD_v31[NÚMERO DE ARTÍCULO (SAP)],CAT_MOD_v31[AÑO],"",0)</f>
        <v>2022</v>
      </c>
    </row>
    <row r="840" spans="1:7" x14ac:dyDescent="0.35">
      <c r="A840" t="s">
        <v>155</v>
      </c>
      <c r="B840" s="1">
        <v>5007339935</v>
      </c>
      <c r="C840" t="s">
        <v>782</v>
      </c>
      <c r="D840" t="s">
        <v>384</v>
      </c>
      <c r="E840" s="2" t="str">
        <f>_xlfn.XLOOKUP(Cat_SKU[[#This Row],[Item]],CAT_MOD_v31[NÚMERO DE ARTÍCULO (SAP)],CAT_MOD_v31[RESUMIDO],"",0)</f>
        <v>Pulsar RS200</v>
      </c>
      <c r="F840" s="2" t="str">
        <f>_xlfn.XLOOKUP(Cat_SKU[[#This Row],[Item]],CAT_MOD_v31[NÚMERO DE ARTÍCULO (SAP)],CAT_MOD_v31[COLOR],"",0)</f>
        <v>Gris</v>
      </c>
      <c r="G840" s="2">
        <f>_xlfn.XLOOKUP(Cat_SKU[[#This Row],[Item]],CAT_MOD_v31[NÚMERO DE ARTÍCULO (SAP)],CAT_MOD_v31[AÑO],"",0)</f>
        <v>2022</v>
      </c>
    </row>
    <row r="841" spans="1:7" x14ac:dyDescent="0.35">
      <c r="A841" t="s">
        <v>155</v>
      </c>
      <c r="B841" s="1">
        <v>5007339943</v>
      </c>
      <c r="D841" t="s">
        <v>324</v>
      </c>
      <c r="E841" s="2" t="str">
        <f>_xlfn.XLOOKUP(Cat_SKU[[#This Row],[Item]],CAT_MOD_v31[NÚMERO DE ARTÍCULO (SAP)],CAT_MOD_v31[RESUMIDO],"",0)</f>
        <v>Pulsar RS200</v>
      </c>
      <c r="F841" s="2" t="str">
        <f>_xlfn.XLOOKUP(Cat_SKU[[#This Row],[Item]],CAT_MOD_v31[NÚMERO DE ARTÍCULO (SAP)],CAT_MOD_v31[COLOR],"",0)</f>
        <v>Perla</v>
      </c>
      <c r="G841" s="2">
        <f>_xlfn.XLOOKUP(Cat_SKU[[#This Row],[Item]],CAT_MOD_v31[NÚMERO DE ARTÍCULO (SAP)],CAT_MOD_v31[AÑO],"",0)</f>
        <v>2022</v>
      </c>
    </row>
    <row r="842" spans="1:7" x14ac:dyDescent="0.35">
      <c r="A842" t="s">
        <v>155</v>
      </c>
      <c r="B842" s="1">
        <v>5007339951</v>
      </c>
      <c r="D842" t="s">
        <v>324</v>
      </c>
      <c r="E842" s="2" t="str">
        <f>_xlfn.XLOOKUP(Cat_SKU[[#This Row],[Item]],CAT_MOD_v31[NÚMERO DE ARTÍCULO (SAP)],CAT_MOD_v31[RESUMIDO],"",0)</f>
        <v>Pulsar RS200</v>
      </c>
      <c r="F842" s="2" t="str">
        <f>_xlfn.XLOOKUP(Cat_SKU[[#This Row],[Item]],CAT_MOD_v31[NÚMERO DE ARTÍCULO (SAP)],CAT_MOD_v31[COLOR],"",0)</f>
        <v>Perla</v>
      </c>
      <c r="G842" s="2">
        <f>_xlfn.XLOOKUP(Cat_SKU[[#This Row],[Item]],CAT_MOD_v31[NÚMERO DE ARTÍCULO (SAP)],CAT_MOD_v31[AÑO],"",0)</f>
        <v>2022</v>
      </c>
    </row>
    <row r="843" spans="1:7" x14ac:dyDescent="0.35">
      <c r="A843" t="s">
        <v>155</v>
      </c>
      <c r="B843" s="1">
        <v>5007599236</v>
      </c>
      <c r="D843" t="s">
        <v>316</v>
      </c>
      <c r="E843" s="2" t="str">
        <f>_xlfn.XLOOKUP(Cat_SKU[[#This Row],[Item]],CAT_MOD_v31[NÚMERO DE ARTÍCULO (SAP)],CAT_MOD_v31[RESUMIDO],"",0)</f>
        <v>Pulsar LS125</v>
      </c>
      <c r="F843" s="2" t="str">
        <f>_xlfn.XLOOKUP(Cat_SKU[[#This Row],[Item]],CAT_MOD_v31[NÚMERO DE ARTÍCULO (SAP)],CAT_MOD_v31[COLOR],"",0)</f>
        <v>Negro</v>
      </c>
      <c r="G843" s="2">
        <f>_xlfn.XLOOKUP(Cat_SKU[[#This Row],[Item]],CAT_MOD_v31[NÚMERO DE ARTÍCULO (SAP)],CAT_MOD_v31[AÑO],"",0)</f>
        <v>2023</v>
      </c>
    </row>
    <row r="844" spans="1:7" x14ac:dyDescent="0.35">
      <c r="A844" t="s">
        <v>155</v>
      </c>
      <c r="B844" s="1">
        <v>5007873702</v>
      </c>
      <c r="D844" t="s">
        <v>336</v>
      </c>
      <c r="E844" s="2" t="str">
        <f>_xlfn.XLOOKUP(Cat_SKU[[#This Row],[Item]],CAT_MOD_v31[NÚMERO DE ARTÍCULO (SAP)],CAT_MOD_v31[RESUMIDO],"",0)</f>
        <v>Pulsar N160 FI ABS</v>
      </c>
      <c r="F844" s="2" t="str">
        <f>_xlfn.XLOOKUP(Cat_SKU[[#This Row],[Item]],CAT_MOD_v31[NÚMERO DE ARTÍCULO (SAP)],CAT_MOD_v31[COLOR],"",0)</f>
        <v>Negro</v>
      </c>
      <c r="G844" s="2">
        <f>_xlfn.XLOOKUP(Cat_SKU[[#This Row],[Item]],CAT_MOD_v31[NÚMERO DE ARTÍCULO (SAP)],CAT_MOD_v31[AÑO],"",0)</f>
        <v>2023</v>
      </c>
    </row>
    <row r="845" spans="1:7" x14ac:dyDescent="0.35">
      <c r="A845" t="s">
        <v>155</v>
      </c>
      <c r="B845" s="1">
        <v>5008179079</v>
      </c>
      <c r="D845" t="s">
        <v>332</v>
      </c>
      <c r="E845" s="2" t="str">
        <f>_xlfn.XLOOKUP(Cat_SKU[[#This Row],[Item]],CAT_MOD_v31[NÚMERO DE ARTÍCULO (SAP)],CAT_MOD_v31[RESUMIDO],"",0)</f>
        <v>Platina ES100</v>
      </c>
      <c r="F845" s="2" t="str">
        <f>_xlfn.XLOOKUP(Cat_SKU[[#This Row],[Item]],CAT_MOD_v31[NÚMERO DE ARTÍCULO (SAP)],CAT_MOD_v31[COLOR],"",0)</f>
        <v>Rojo</v>
      </c>
      <c r="G845" s="2">
        <f>_xlfn.XLOOKUP(Cat_SKU[[#This Row],[Item]],CAT_MOD_v31[NÚMERO DE ARTÍCULO (SAP)],CAT_MOD_v31[AÑO],"",0)</f>
        <v>2023</v>
      </c>
    </row>
    <row r="846" spans="1:7" x14ac:dyDescent="0.35">
      <c r="A846" t="s">
        <v>155</v>
      </c>
      <c r="B846" s="1">
        <v>5008351734</v>
      </c>
      <c r="D846" t="s">
        <v>332</v>
      </c>
      <c r="E846" s="2" t="str">
        <f>_xlfn.XLOOKUP(Cat_SKU[[#This Row],[Item]],CAT_MOD_v31[NÚMERO DE ARTÍCULO (SAP)],CAT_MOD_v31[RESUMIDO],"",0)</f>
        <v>Platina ES100</v>
      </c>
      <c r="F846" s="2" t="str">
        <f>_xlfn.XLOOKUP(Cat_SKU[[#This Row],[Item]],CAT_MOD_v31[NÚMERO DE ARTÍCULO (SAP)],CAT_MOD_v31[COLOR],"",0)</f>
        <v>Rojo</v>
      </c>
      <c r="G846" s="2">
        <f>_xlfn.XLOOKUP(Cat_SKU[[#This Row],[Item]],CAT_MOD_v31[NÚMERO DE ARTÍCULO (SAP)],CAT_MOD_v31[AÑO],"",0)</f>
        <v>2023</v>
      </c>
    </row>
    <row r="847" spans="1:7" x14ac:dyDescent="0.35">
      <c r="A847" t="s">
        <v>155</v>
      </c>
      <c r="B847" s="1">
        <v>5008733084</v>
      </c>
      <c r="D847" t="s">
        <v>294</v>
      </c>
      <c r="E847" s="2" t="str">
        <f>_xlfn.XLOOKUP(Cat_SKU[[#This Row],[Item]],CAT_MOD_v31[NÚMERO DE ARTÍCULO (SAP)],CAT_MOD_v31[RESUMIDO],"",0)</f>
        <v>Pulsar N250 FI ABS</v>
      </c>
      <c r="F847" s="2" t="str">
        <f>_xlfn.XLOOKUP(Cat_SKU[[#This Row],[Item]],CAT_MOD_v31[NÚMERO DE ARTÍCULO (SAP)],CAT_MOD_v31[COLOR],"",0)</f>
        <v>Negro</v>
      </c>
      <c r="G847" s="2">
        <f>_xlfn.XLOOKUP(Cat_SKU[[#This Row],[Item]],CAT_MOD_v31[NÚMERO DE ARTÍCULO (SAP)],CAT_MOD_v31[AÑO],"",0)</f>
        <v>2024</v>
      </c>
    </row>
    <row r="848" spans="1:7" x14ac:dyDescent="0.35">
      <c r="A848" t="s">
        <v>155</v>
      </c>
      <c r="B848" s="1">
        <v>5008733092</v>
      </c>
      <c r="D848" t="s">
        <v>293</v>
      </c>
      <c r="E848" s="2" t="str">
        <f>_xlfn.XLOOKUP(Cat_SKU[[#This Row],[Item]],CAT_MOD_v31[NÚMERO DE ARTÍCULO (SAP)],CAT_MOD_v31[RESUMIDO],"",0)</f>
        <v>Pulsar N160 FI ABS</v>
      </c>
      <c r="F848" s="2" t="str">
        <f>_xlfn.XLOOKUP(Cat_SKU[[#This Row],[Item]],CAT_MOD_v31[NÚMERO DE ARTÍCULO (SAP)],CAT_MOD_v31[COLOR],"",0)</f>
        <v>Negro</v>
      </c>
      <c r="G848" s="2">
        <f>_xlfn.XLOOKUP(Cat_SKU[[#This Row],[Item]],CAT_MOD_v31[NÚMERO DE ARTÍCULO (SAP)],CAT_MOD_v31[AÑO],"",0)</f>
        <v>2024</v>
      </c>
    </row>
    <row r="849" spans="1:7" x14ac:dyDescent="0.35">
      <c r="A849" t="s">
        <v>155</v>
      </c>
      <c r="B849" s="1">
        <v>5008734277</v>
      </c>
      <c r="D849" t="s">
        <v>351</v>
      </c>
      <c r="E849" s="2" t="str">
        <f>_xlfn.XLOOKUP(Cat_SKU[[#This Row],[Item]],CAT_MOD_v31[NÚMERO DE ARTÍCULO (SAP)],CAT_MOD_v31[RESUMIDO],"",0)</f>
        <v>Pulsar LS125</v>
      </c>
      <c r="F849" s="2" t="str">
        <f>_xlfn.XLOOKUP(Cat_SKU[[#This Row],[Item]],CAT_MOD_v31[NÚMERO DE ARTÍCULO (SAP)],CAT_MOD_v31[COLOR],"",0)</f>
        <v>Amarillo</v>
      </c>
      <c r="G849" s="2">
        <f>_xlfn.XLOOKUP(Cat_SKU[[#This Row],[Item]],CAT_MOD_v31[NÚMERO DE ARTÍCULO (SAP)],CAT_MOD_v31[AÑO],"",0)</f>
        <v>2024</v>
      </c>
    </row>
    <row r="850" spans="1:7" x14ac:dyDescent="0.35">
      <c r="A850" t="s">
        <v>155</v>
      </c>
      <c r="B850" s="1">
        <v>5008734358</v>
      </c>
      <c r="D850" t="s">
        <v>350</v>
      </c>
      <c r="E850" s="2" t="str">
        <f>_xlfn.XLOOKUP(Cat_SKU[[#This Row],[Item]],CAT_MOD_v31[NÚMERO DE ARTÍCULO (SAP)],CAT_MOD_v31[RESUMIDO],"",0)</f>
        <v>Pulsar NS160</v>
      </c>
      <c r="F850" s="2" t="str">
        <f>_xlfn.XLOOKUP(Cat_SKU[[#This Row],[Item]],CAT_MOD_v31[NÚMERO DE ARTÍCULO (SAP)],CAT_MOD_v31[COLOR],"",0)</f>
        <v>Perla</v>
      </c>
      <c r="G850" s="2">
        <f>_xlfn.XLOOKUP(Cat_SKU[[#This Row],[Item]],CAT_MOD_v31[NÚMERO DE ARTÍCULO (SAP)],CAT_MOD_v31[AÑO],"",0)</f>
        <v>2024</v>
      </c>
    </row>
    <row r="851" spans="1:7" x14ac:dyDescent="0.35">
      <c r="A851" t="s">
        <v>155</v>
      </c>
      <c r="B851" s="1">
        <v>5008734366</v>
      </c>
      <c r="D851" t="s">
        <v>349</v>
      </c>
      <c r="E851" s="2" t="str">
        <f>_xlfn.XLOOKUP(Cat_SKU[[#This Row],[Item]],CAT_MOD_v31[NÚMERO DE ARTÍCULO (SAP)],CAT_MOD_v31[RESUMIDO],"",0)</f>
        <v>Pulsar NS160</v>
      </c>
      <c r="F851" s="2" t="str">
        <f>_xlfn.XLOOKUP(Cat_SKU[[#This Row],[Item]],CAT_MOD_v31[NÚMERO DE ARTÍCULO (SAP)],CAT_MOD_v31[COLOR],"",0)</f>
        <v>Azul</v>
      </c>
      <c r="G851" s="2">
        <f>_xlfn.XLOOKUP(Cat_SKU[[#This Row],[Item]],CAT_MOD_v31[NÚMERO DE ARTÍCULO (SAP)],CAT_MOD_v31[AÑO],"",0)</f>
        <v>2024</v>
      </c>
    </row>
    <row r="852" spans="1:7" x14ac:dyDescent="0.35">
      <c r="A852" t="s">
        <v>155</v>
      </c>
      <c r="B852" s="1">
        <v>5008762491</v>
      </c>
      <c r="D852" t="s">
        <v>352</v>
      </c>
      <c r="E852" s="2" t="str">
        <f>_xlfn.XLOOKUP(Cat_SKU[[#This Row],[Item]],CAT_MOD_v31[NÚMERO DE ARTÍCULO (SAP)],CAT_MOD_v31[RESUMIDO],"",0)</f>
        <v>Pulsar LS125</v>
      </c>
      <c r="F852" s="2" t="str">
        <f>_xlfn.XLOOKUP(Cat_SKU[[#This Row],[Item]],CAT_MOD_v31[NÚMERO DE ARTÍCULO (SAP)],CAT_MOD_v31[COLOR],"",0)</f>
        <v>Negro</v>
      </c>
      <c r="G852" s="2">
        <f>_xlfn.XLOOKUP(Cat_SKU[[#This Row],[Item]],CAT_MOD_v31[NÚMERO DE ARTÍCULO (SAP)],CAT_MOD_v31[AÑO],"",0)</f>
        <v>2024</v>
      </c>
    </row>
    <row r="853" spans="1:7" x14ac:dyDescent="0.35">
      <c r="A853" t="s">
        <v>155</v>
      </c>
      <c r="B853" s="1">
        <v>5008764800</v>
      </c>
      <c r="D853" t="s">
        <v>353</v>
      </c>
      <c r="E853" s="2" t="str">
        <f>_xlfn.XLOOKUP(Cat_SKU[[#This Row],[Item]],CAT_MOD_v31[NÚMERO DE ARTÍCULO (SAP)],CAT_MOD_v31[RESUMIDO],"",0)</f>
        <v>Pulsar NS160</v>
      </c>
      <c r="F853" s="2" t="str">
        <f>_xlfn.XLOOKUP(Cat_SKU[[#This Row],[Item]],CAT_MOD_v31[NÚMERO DE ARTÍCULO (SAP)],CAT_MOD_v31[COLOR],"",0)</f>
        <v>Gris</v>
      </c>
      <c r="G853" s="2">
        <f>_xlfn.XLOOKUP(Cat_SKU[[#This Row],[Item]],CAT_MOD_v31[NÚMERO DE ARTÍCULO (SAP)],CAT_MOD_v31[AÑO],"",0)</f>
        <v>2024</v>
      </c>
    </row>
    <row r="854" spans="1:7" x14ac:dyDescent="0.35">
      <c r="A854" t="s">
        <v>155</v>
      </c>
      <c r="B854" s="1">
        <v>5008914381</v>
      </c>
      <c r="D854" t="s">
        <v>303</v>
      </c>
      <c r="E854" s="2" t="str">
        <f>_xlfn.XLOOKUP(Cat_SKU[[#This Row],[Item]],CAT_MOD_v31[NÚMERO DE ARTÍCULO (SAP)],CAT_MOD_v31[RESUMIDO],"",0)</f>
        <v>Avenger Cruise 220</v>
      </c>
      <c r="F854" s="2" t="str">
        <f>_xlfn.XLOOKUP(Cat_SKU[[#This Row],[Item]],CAT_MOD_v31[NÚMERO DE ARTÍCULO (SAP)],CAT_MOD_v31[COLOR],"",0)</f>
        <v>Negro</v>
      </c>
      <c r="G854" s="2">
        <f>_xlfn.XLOOKUP(Cat_SKU[[#This Row],[Item]],CAT_MOD_v31[NÚMERO DE ARTÍCULO (SAP)],CAT_MOD_v31[AÑO],"",0)</f>
        <v>2024</v>
      </c>
    </row>
    <row r="855" spans="1:7" x14ac:dyDescent="0.35">
      <c r="A855" t="s">
        <v>155</v>
      </c>
      <c r="B855" s="1">
        <v>5008926575</v>
      </c>
      <c r="D855" t="s">
        <v>299</v>
      </c>
      <c r="E855" s="2" t="str">
        <f>_xlfn.XLOOKUP(Cat_SKU[[#This Row],[Item]],CAT_MOD_v31[NÚMERO DE ARTÍCULO (SAP)],CAT_MOD_v31[RESUMIDO],"",0)</f>
        <v>Boxer BM150</v>
      </c>
      <c r="F855" s="2" t="str">
        <f>_xlfn.XLOOKUP(Cat_SKU[[#This Row],[Item]],CAT_MOD_v31[NÚMERO DE ARTÍCULO (SAP)],CAT_MOD_v31[COLOR],"",0)</f>
        <v>Blanco</v>
      </c>
      <c r="G855" s="2">
        <f>_xlfn.XLOOKUP(Cat_SKU[[#This Row],[Item]],CAT_MOD_v31[NÚMERO DE ARTÍCULO (SAP)],CAT_MOD_v31[AÑO],"",0)</f>
        <v>2024</v>
      </c>
    </row>
    <row r="856" spans="1:7" x14ac:dyDescent="0.35">
      <c r="A856" t="s">
        <v>155</v>
      </c>
      <c r="B856" s="1">
        <v>5008926583</v>
      </c>
      <c r="D856" t="s">
        <v>296</v>
      </c>
      <c r="E856" s="2" t="str">
        <f>_xlfn.XLOOKUP(Cat_SKU[[#This Row],[Item]],CAT_MOD_v31[NÚMERO DE ARTÍCULO (SAP)],CAT_MOD_v31[RESUMIDO],"",0)</f>
        <v>Boxer BM150</v>
      </c>
      <c r="F856" s="2" t="str">
        <f>_xlfn.XLOOKUP(Cat_SKU[[#This Row],[Item]],CAT_MOD_v31[NÚMERO DE ARTÍCULO (SAP)],CAT_MOD_v31[COLOR],"",0)</f>
        <v>Negro</v>
      </c>
      <c r="G856" s="2">
        <f>_xlfn.XLOOKUP(Cat_SKU[[#This Row],[Item]],CAT_MOD_v31[NÚMERO DE ARTÍCULO (SAP)],CAT_MOD_v31[AÑO],"",0)</f>
        <v>2024</v>
      </c>
    </row>
    <row r="857" spans="1:7" x14ac:dyDescent="0.35">
      <c r="A857" t="s">
        <v>155</v>
      </c>
      <c r="B857" s="1">
        <v>5008927008</v>
      </c>
      <c r="D857" t="s">
        <v>355</v>
      </c>
      <c r="E857" s="2" t="str">
        <f>_xlfn.XLOOKUP(Cat_SKU[[#This Row],[Item]],CAT_MOD_v31[NÚMERO DE ARTÍCULO (SAP)],CAT_MOD_v31[RESUMIDO],"",0)</f>
        <v>Pulsar RS200</v>
      </c>
      <c r="F857" s="2" t="str">
        <f>_xlfn.XLOOKUP(Cat_SKU[[#This Row],[Item]],CAT_MOD_v31[NÚMERO DE ARTÍCULO (SAP)],CAT_MOD_v31[COLOR],"",0)</f>
        <v>Perla</v>
      </c>
      <c r="G857" s="2">
        <f>_xlfn.XLOOKUP(Cat_SKU[[#This Row],[Item]],CAT_MOD_v31[NÚMERO DE ARTÍCULO (SAP)],CAT_MOD_v31[AÑO],"",0)</f>
        <v>2024</v>
      </c>
    </row>
    <row r="858" spans="1:7" x14ac:dyDescent="0.35">
      <c r="A858" t="s">
        <v>155</v>
      </c>
      <c r="B858" s="1">
        <v>5008927016</v>
      </c>
      <c r="D858" t="s">
        <v>301</v>
      </c>
      <c r="E858" s="2" t="str">
        <f>_xlfn.XLOOKUP(Cat_SKU[[#This Row],[Item]],CAT_MOD_v31[NÚMERO DE ARTÍCULO (SAP)],CAT_MOD_v31[RESUMIDO],"",0)</f>
        <v>Pulsar RS200</v>
      </c>
      <c r="F858" s="2" t="str">
        <f>_xlfn.XLOOKUP(Cat_SKU[[#This Row],[Item]],CAT_MOD_v31[NÚMERO DE ARTÍCULO (SAP)],CAT_MOD_v31[COLOR],"",0)</f>
        <v>Gris</v>
      </c>
      <c r="G858" s="2">
        <f>_xlfn.XLOOKUP(Cat_SKU[[#This Row],[Item]],CAT_MOD_v31[NÚMERO DE ARTÍCULO (SAP)],CAT_MOD_v31[AÑO],"",0)</f>
        <v>2024</v>
      </c>
    </row>
    <row r="859" spans="1:7" x14ac:dyDescent="0.35">
      <c r="A859" t="s">
        <v>155</v>
      </c>
      <c r="B859" s="1">
        <v>5008927032</v>
      </c>
      <c r="D859" t="s">
        <v>354</v>
      </c>
      <c r="E859" s="2" t="str">
        <f>_xlfn.XLOOKUP(Cat_SKU[[#This Row],[Item]],CAT_MOD_v31[NÚMERO DE ARTÍCULO (SAP)],CAT_MOD_v31[RESUMIDO],"",0)</f>
        <v>Pulsar NS200</v>
      </c>
      <c r="F859" s="2" t="str">
        <f>_xlfn.XLOOKUP(Cat_SKU[[#This Row],[Item]],CAT_MOD_v31[NÚMERO DE ARTÍCULO (SAP)],CAT_MOD_v31[COLOR],"",0)</f>
        <v>Perla</v>
      </c>
      <c r="G859" s="2">
        <f>_xlfn.XLOOKUP(Cat_SKU[[#This Row],[Item]],CAT_MOD_v31[NÚMERO DE ARTÍCULO (SAP)],CAT_MOD_v31[AÑO],"",0)</f>
        <v>2024</v>
      </c>
    </row>
    <row r="860" spans="1:7" x14ac:dyDescent="0.35">
      <c r="A860" t="s">
        <v>155</v>
      </c>
      <c r="B860" s="1">
        <v>5008927041</v>
      </c>
      <c r="D860" t="s">
        <v>356</v>
      </c>
      <c r="E860" s="2" t="str">
        <f>_xlfn.XLOOKUP(Cat_SKU[[#This Row],[Item]],CAT_MOD_v31[NÚMERO DE ARTÍCULO (SAP)],CAT_MOD_v31[RESUMIDO],"",0)</f>
        <v>Pulsar NS200</v>
      </c>
      <c r="F860" s="2" t="str">
        <f>_xlfn.XLOOKUP(Cat_SKU[[#This Row],[Item]],CAT_MOD_v31[NÚMERO DE ARTÍCULO (SAP)],CAT_MOD_v31[COLOR],"",0)</f>
        <v>Rojo</v>
      </c>
      <c r="G860" s="2">
        <f>_xlfn.XLOOKUP(Cat_SKU[[#This Row],[Item]],CAT_MOD_v31[NÚMERO DE ARTÍCULO (SAP)],CAT_MOD_v31[AÑO],"",0)</f>
        <v>2024</v>
      </c>
    </row>
    <row r="861" spans="1:7" x14ac:dyDescent="0.35">
      <c r="A861" t="s">
        <v>155</v>
      </c>
      <c r="B861" s="1">
        <v>5008927059</v>
      </c>
      <c r="D861" t="s">
        <v>314</v>
      </c>
      <c r="E861" s="2" t="str">
        <f>_xlfn.XLOOKUP(Cat_SKU[[#This Row],[Item]],CAT_MOD_v31[NÚMERO DE ARTÍCULO (SAP)],CAT_MOD_v31[RESUMIDO],"",0)</f>
        <v>Pulsar NS200</v>
      </c>
      <c r="F861" s="2" t="str">
        <f>_xlfn.XLOOKUP(Cat_SKU[[#This Row],[Item]],CAT_MOD_v31[NÚMERO DE ARTÍCULO (SAP)],CAT_MOD_v31[COLOR],"",0)</f>
        <v>Gris</v>
      </c>
      <c r="G861" s="2">
        <f>_xlfn.XLOOKUP(Cat_SKU[[#This Row],[Item]],CAT_MOD_v31[NÚMERO DE ARTÍCULO (SAP)],CAT_MOD_v31[AÑO],"",0)</f>
        <v>2024</v>
      </c>
    </row>
    <row r="862" spans="1:7" x14ac:dyDescent="0.35">
      <c r="A862" t="s">
        <v>155</v>
      </c>
      <c r="B862" s="1">
        <v>5008930025</v>
      </c>
      <c r="D862" t="s">
        <v>347</v>
      </c>
      <c r="E862" s="2" t="str">
        <f>_xlfn.XLOOKUP(Cat_SKU[[#This Row],[Item]],CAT_MOD_v31[NÚMERO DE ARTÍCULO (SAP)],CAT_MOD_v31[RESUMIDO],"",0)</f>
        <v>Dominar 400</v>
      </c>
      <c r="F862" s="2" t="str">
        <f>_xlfn.XLOOKUP(Cat_SKU[[#This Row],[Item]],CAT_MOD_v31[NÚMERO DE ARTÍCULO (SAP)],CAT_MOD_v31[COLOR],"",0)</f>
        <v>Verde</v>
      </c>
      <c r="G862" s="2">
        <f>_xlfn.XLOOKUP(Cat_SKU[[#This Row],[Item]],CAT_MOD_v31[NÚMERO DE ARTÍCULO (SAP)],CAT_MOD_v31[AÑO],"",0)</f>
        <v>2024</v>
      </c>
    </row>
    <row r="863" spans="1:7" x14ac:dyDescent="0.35">
      <c r="A863" t="s">
        <v>155</v>
      </c>
      <c r="B863" s="1">
        <v>5008930033</v>
      </c>
      <c r="D863" t="s">
        <v>297</v>
      </c>
      <c r="E863" s="2" t="str">
        <f>_xlfn.XLOOKUP(Cat_SKU[[#This Row],[Item]],CAT_MOD_v31[NÚMERO DE ARTÍCULO (SAP)],CAT_MOD_v31[RESUMIDO],"",0)</f>
        <v>Dominar 400</v>
      </c>
      <c r="F863" s="2" t="str">
        <f>_xlfn.XLOOKUP(Cat_SKU[[#This Row],[Item]],CAT_MOD_v31[NÚMERO DE ARTÍCULO (SAP)],CAT_MOD_v31[COLOR],"",0)</f>
        <v>Negro</v>
      </c>
      <c r="G863" s="2">
        <f>_xlfn.XLOOKUP(Cat_SKU[[#This Row],[Item]],CAT_MOD_v31[NÚMERO DE ARTÍCULO (SAP)],CAT_MOD_v31[AÑO],"",0)</f>
        <v>2024</v>
      </c>
    </row>
    <row r="864" spans="1:7" x14ac:dyDescent="0.35">
      <c r="A864" t="s">
        <v>155</v>
      </c>
      <c r="B864" s="1">
        <v>5008930068</v>
      </c>
      <c r="D864" t="s">
        <v>346</v>
      </c>
      <c r="E864" s="2" t="str">
        <f>_xlfn.XLOOKUP(Cat_SKU[[#This Row],[Item]],CAT_MOD_v31[NÚMERO DE ARTÍCULO (SAP)],CAT_MOD_v31[RESUMIDO],"",0)</f>
        <v>Dominar 250</v>
      </c>
      <c r="F864" s="2" t="str">
        <f>_xlfn.XLOOKUP(Cat_SKU[[#This Row],[Item]],CAT_MOD_v31[NÚMERO DE ARTÍCULO (SAP)],CAT_MOD_v31[COLOR],"",0)</f>
        <v>Rojo</v>
      </c>
      <c r="G864" s="2">
        <f>_xlfn.XLOOKUP(Cat_SKU[[#This Row],[Item]],CAT_MOD_v31[NÚMERO DE ARTÍCULO (SAP)],CAT_MOD_v31[AÑO],"",0)</f>
        <v>2024</v>
      </c>
    </row>
    <row r="865" spans="1:7" x14ac:dyDescent="0.35">
      <c r="A865" t="s">
        <v>155</v>
      </c>
      <c r="B865" s="1">
        <v>5008930076</v>
      </c>
      <c r="D865" t="s">
        <v>345</v>
      </c>
      <c r="E865" s="2" t="str">
        <f>_xlfn.XLOOKUP(Cat_SKU[[#This Row],[Item]],CAT_MOD_v31[NÚMERO DE ARTÍCULO (SAP)],CAT_MOD_v31[RESUMIDO],"",0)</f>
        <v>Dominar 250</v>
      </c>
      <c r="F865" s="2" t="str">
        <f>_xlfn.XLOOKUP(Cat_SKU[[#This Row],[Item]],CAT_MOD_v31[NÚMERO DE ARTÍCULO (SAP)],CAT_MOD_v31[COLOR],"",0)</f>
        <v>Negro</v>
      </c>
      <c r="G865" s="2">
        <f>_xlfn.XLOOKUP(Cat_SKU[[#This Row],[Item]],CAT_MOD_v31[NÚMERO DE ARTÍCULO (SAP)],CAT_MOD_v31[AÑO],"",0)</f>
        <v>2024</v>
      </c>
    </row>
    <row r="866" spans="1:7" x14ac:dyDescent="0.35">
      <c r="A866" t="s">
        <v>155</v>
      </c>
      <c r="B866" s="1">
        <v>5009575997</v>
      </c>
      <c r="D866" t="s">
        <v>277</v>
      </c>
      <c r="E866" s="2" t="str">
        <f>_xlfn.XLOOKUP(Cat_SKU[[#This Row],[Item]],CAT_MOD_v31[NÚMERO DE ARTÍCULO (SAP)],CAT_MOD_v31[RESUMIDO],"",0)</f>
        <v>Pulsar NS160 UG</v>
      </c>
      <c r="F866" s="2" t="str">
        <f>_xlfn.XLOOKUP(Cat_SKU[[#This Row],[Item]],CAT_MOD_v31[NÚMERO DE ARTÍCULO (SAP)],CAT_MOD_v31[COLOR],"",0)</f>
        <v>Negro</v>
      </c>
      <c r="G866" s="2">
        <f>_xlfn.XLOOKUP(Cat_SKU[[#This Row],[Item]],CAT_MOD_v31[NÚMERO DE ARTÍCULO (SAP)],CAT_MOD_v31[AÑO],"",0)</f>
        <v>2024</v>
      </c>
    </row>
    <row r="867" spans="1:7" x14ac:dyDescent="0.35">
      <c r="A867" t="s">
        <v>155</v>
      </c>
      <c r="B867" s="1">
        <v>5009615956</v>
      </c>
      <c r="D867" t="s">
        <v>348</v>
      </c>
      <c r="E867" s="2" t="str">
        <f>_xlfn.XLOOKUP(Cat_SKU[[#This Row],[Item]],CAT_MOD_v31[NÚMERO DE ARTÍCULO (SAP)],CAT_MOD_v31[RESUMIDO],"",0)</f>
        <v>Platina ES100</v>
      </c>
      <c r="F867" s="2" t="str">
        <f>_xlfn.XLOOKUP(Cat_SKU[[#This Row],[Item]],CAT_MOD_v31[NÚMERO DE ARTÍCULO (SAP)],CAT_MOD_v31[COLOR],"",0)</f>
        <v>Rojo</v>
      </c>
      <c r="G867" s="2">
        <f>_xlfn.XLOOKUP(Cat_SKU[[#This Row],[Item]],CAT_MOD_v31[NÚMERO DE ARTÍCULO (SAP)],CAT_MOD_v31[AÑO],"",0)</f>
        <v>2024</v>
      </c>
    </row>
    <row r="868" spans="1:7" x14ac:dyDescent="0.35">
      <c r="A868" t="s">
        <v>155</v>
      </c>
      <c r="B868" s="1">
        <v>5009616430</v>
      </c>
      <c r="D868" t="s">
        <v>298</v>
      </c>
      <c r="E868" s="2" t="str">
        <f>_xlfn.XLOOKUP(Cat_SKU[[#This Row],[Item]],CAT_MOD_v31[NÚMERO DE ARTÍCULO (SAP)],CAT_MOD_v31[RESUMIDO],"",0)</f>
        <v>Pulsar NS200 UG</v>
      </c>
      <c r="F868" s="2" t="str">
        <f>_xlfn.XLOOKUP(Cat_SKU[[#This Row],[Item]],CAT_MOD_v31[NÚMERO DE ARTÍCULO (SAP)],CAT_MOD_v31[COLOR],"",0)</f>
        <v>Perla</v>
      </c>
      <c r="G868" s="2">
        <f>_xlfn.XLOOKUP(Cat_SKU[[#This Row],[Item]],CAT_MOD_v31[NÚMERO DE ARTÍCULO (SAP)],CAT_MOD_v31[AÑO],"",0)</f>
        <v>2024</v>
      </c>
    </row>
    <row r="869" spans="1:7" x14ac:dyDescent="0.35">
      <c r="A869" t="s">
        <v>155</v>
      </c>
      <c r="B869" s="1">
        <v>5009616766</v>
      </c>
      <c r="D869" t="s">
        <v>292</v>
      </c>
      <c r="E869" s="2" t="str">
        <f>_xlfn.XLOOKUP(Cat_SKU[[#This Row],[Item]],CAT_MOD_v31[NÚMERO DE ARTÍCULO (SAP)],CAT_MOD_v31[RESUMIDO],"",0)</f>
        <v>Pulsar NS160 UG</v>
      </c>
      <c r="F869" s="2" t="str">
        <f>_xlfn.XLOOKUP(Cat_SKU[[#This Row],[Item]],CAT_MOD_v31[NÚMERO DE ARTÍCULO (SAP)],CAT_MOD_v31[COLOR],"",0)</f>
        <v>Gris</v>
      </c>
      <c r="G869" s="2">
        <f>_xlfn.XLOOKUP(Cat_SKU[[#This Row],[Item]],CAT_MOD_v31[NÚMERO DE ARTÍCULO (SAP)],CAT_MOD_v31[AÑO],"",0)</f>
        <v>2024</v>
      </c>
    </row>
    <row r="870" spans="1:7" x14ac:dyDescent="0.35">
      <c r="A870" t="s">
        <v>155</v>
      </c>
      <c r="B870" s="1">
        <v>5009616774</v>
      </c>
      <c r="D870" t="s">
        <v>291</v>
      </c>
      <c r="E870" s="2" t="str">
        <f>_xlfn.XLOOKUP(Cat_SKU[[#This Row],[Item]],CAT_MOD_v31[NÚMERO DE ARTÍCULO (SAP)],CAT_MOD_v31[RESUMIDO],"",0)</f>
        <v>Pulsar NS200 UG</v>
      </c>
      <c r="F870" s="2" t="str">
        <f>_xlfn.XLOOKUP(Cat_SKU[[#This Row],[Item]],CAT_MOD_v31[NÚMERO DE ARTÍCULO (SAP)],CAT_MOD_v31[COLOR],"",0)</f>
        <v>Negro</v>
      </c>
      <c r="G870" s="2">
        <f>_xlfn.XLOOKUP(Cat_SKU[[#This Row],[Item]],CAT_MOD_v31[NÚMERO DE ARTÍCULO (SAP)],CAT_MOD_v31[AÑO],"",0)</f>
        <v>2024</v>
      </c>
    </row>
    <row r="871" spans="1:7" x14ac:dyDescent="0.35">
      <c r="A871" t="s">
        <v>155</v>
      </c>
      <c r="B871" s="1">
        <v>5009616782</v>
      </c>
      <c r="D871" t="s">
        <v>302</v>
      </c>
      <c r="E871" s="2" t="str">
        <f>_xlfn.XLOOKUP(Cat_SKU[[#This Row],[Item]],CAT_MOD_v31[NÚMERO DE ARTÍCULO (SAP)],CAT_MOD_v31[RESUMIDO],"",0)</f>
        <v>Pulsar NS200 UG</v>
      </c>
      <c r="F871" s="2" t="str">
        <f>_xlfn.XLOOKUP(Cat_SKU[[#This Row],[Item]],CAT_MOD_v31[NÚMERO DE ARTÍCULO (SAP)],CAT_MOD_v31[COLOR],"",0)</f>
        <v>Gris</v>
      </c>
      <c r="G871" s="2">
        <f>_xlfn.XLOOKUP(Cat_SKU[[#This Row],[Item]],CAT_MOD_v31[NÚMERO DE ARTÍCULO (SAP)],CAT_MOD_v31[AÑO],"",0)</f>
        <v>2024</v>
      </c>
    </row>
    <row r="872" spans="1:7" x14ac:dyDescent="0.35">
      <c r="A872" t="s">
        <v>155</v>
      </c>
      <c r="B872" s="1">
        <v>5010095621</v>
      </c>
      <c r="D872" t="s">
        <v>290</v>
      </c>
      <c r="E872" s="2" t="str">
        <f>_xlfn.XLOOKUP(Cat_SKU[[#This Row],[Item]],CAT_MOD_v31[NÚMERO DE ARTÍCULO (SAP)],CAT_MOD_v31[RESUMIDO],"",0)</f>
        <v>Pulsar NS125 UG</v>
      </c>
      <c r="F872" s="2" t="str">
        <f>_xlfn.XLOOKUP(Cat_SKU[[#This Row],[Item]],CAT_MOD_v31[NÚMERO DE ARTÍCULO (SAP)],CAT_MOD_v31[COLOR],"",0)</f>
        <v>Naranja</v>
      </c>
      <c r="G872" s="2">
        <f>_xlfn.XLOOKUP(Cat_SKU[[#This Row],[Item]],CAT_MOD_v31[NÚMERO DE ARTÍCULO (SAP)],CAT_MOD_v31[AÑO],"",0)</f>
        <v>2024</v>
      </c>
    </row>
    <row r="873" spans="1:7" x14ac:dyDescent="0.35">
      <c r="A873" t="s">
        <v>155</v>
      </c>
      <c r="B873" s="1">
        <v>5010095630</v>
      </c>
      <c r="D873" t="s">
        <v>289</v>
      </c>
      <c r="E873" s="2" t="str">
        <f>_xlfn.XLOOKUP(Cat_SKU[[#This Row],[Item]],CAT_MOD_v31[NÚMERO DE ARTÍCULO (SAP)],CAT_MOD_v31[RESUMIDO],"",0)</f>
        <v>Pulsar NS125 UG</v>
      </c>
      <c r="F873" s="2" t="str">
        <f>_xlfn.XLOOKUP(Cat_SKU[[#This Row],[Item]],CAT_MOD_v31[NÚMERO DE ARTÍCULO (SAP)],CAT_MOD_v31[COLOR],"",0)</f>
        <v>Gris</v>
      </c>
      <c r="G873" s="2">
        <f>_xlfn.XLOOKUP(Cat_SKU[[#This Row],[Item]],CAT_MOD_v31[NÚMERO DE ARTÍCULO (SAP)],CAT_MOD_v31[AÑO],"",0)</f>
        <v>2024</v>
      </c>
    </row>
    <row r="874" spans="1:7" x14ac:dyDescent="0.35">
      <c r="A874" t="s">
        <v>155</v>
      </c>
      <c r="B874" s="1">
        <v>5011297082</v>
      </c>
      <c r="C874" t="s">
        <v>165</v>
      </c>
      <c r="D874" t="s">
        <v>304</v>
      </c>
      <c r="E874" s="2" t="str">
        <f>_xlfn.XLOOKUP(Cat_SKU[[#This Row],[Item]],CAT_MOD_v31[NÚMERO DE ARTÍCULO (SAP)],CAT_MOD_v31[RESUMIDO],"",0)</f>
        <v>Pulsar N160</v>
      </c>
      <c r="F874" s="2" t="str">
        <f>_xlfn.XLOOKUP(Cat_SKU[[#This Row],[Item]],CAT_MOD_v31[NÚMERO DE ARTÍCULO (SAP)],CAT_MOD_v31[COLOR],"",0)</f>
        <v>Negro</v>
      </c>
      <c r="G874" s="2">
        <f>_xlfn.XLOOKUP(Cat_SKU[[#This Row],[Item]],CAT_MOD_v31[NÚMERO DE ARTÍCULO (SAP)],CAT_MOD_v31[AÑO],"",0)</f>
        <v>2025</v>
      </c>
    </row>
    <row r="875" spans="1:7" x14ac:dyDescent="0.35">
      <c r="A875" t="s">
        <v>155</v>
      </c>
      <c r="B875" s="1">
        <v>5011297082</v>
      </c>
      <c r="C875" t="s">
        <v>795</v>
      </c>
      <c r="D875" t="s">
        <v>362</v>
      </c>
      <c r="E875" s="2" t="str">
        <f>_xlfn.XLOOKUP(Cat_SKU[[#This Row],[Item]],CAT_MOD_v31[NÚMERO DE ARTÍCULO (SAP)],CAT_MOD_v31[RESUMIDO],"",0)</f>
        <v>Pulsar N160</v>
      </c>
      <c r="F875" s="2" t="str">
        <f>_xlfn.XLOOKUP(Cat_SKU[[#This Row],[Item]],CAT_MOD_v31[NÚMERO DE ARTÍCULO (SAP)],CAT_MOD_v31[COLOR],"",0)</f>
        <v>Negro</v>
      </c>
      <c r="G875" s="2">
        <f>_xlfn.XLOOKUP(Cat_SKU[[#This Row],[Item]],CAT_MOD_v31[NÚMERO DE ARTÍCULO (SAP)],CAT_MOD_v31[AÑO],"",0)</f>
        <v>2024</v>
      </c>
    </row>
    <row r="876" spans="1:7" x14ac:dyDescent="0.35">
      <c r="A876" t="s">
        <v>155</v>
      </c>
      <c r="B876" s="1">
        <v>5011517716</v>
      </c>
      <c r="C876" t="s">
        <v>158</v>
      </c>
      <c r="D876" t="s">
        <v>256</v>
      </c>
      <c r="E876" s="2" t="str">
        <f>_xlfn.XLOOKUP(Cat_SKU[[#This Row],[Item]],CAT_MOD_v31[NÚMERO DE ARTÍCULO (SAP)],CAT_MOD_v31[RESUMIDO],"",0)</f>
        <v>Boxer BM150</v>
      </c>
      <c r="F876" s="2" t="str">
        <f>_xlfn.XLOOKUP(Cat_SKU[[#This Row],[Item]],CAT_MOD_v31[NÚMERO DE ARTÍCULO (SAP)],CAT_MOD_v31[COLOR],"",0)</f>
        <v>Blanco</v>
      </c>
      <c r="G876" s="2">
        <f>_xlfn.XLOOKUP(Cat_SKU[[#This Row],[Item]],CAT_MOD_v31[NÚMERO DE ARTÍCULO (SAP)],CAT_MOD_v31[AÑO],"",0)</f>
        <v>2025</v>
      </c>
    </row>
    <row r="877" spans="1:7" x14ac:dyDescent="0.35">
      <c r="A877" t="s">
        <v>155</v>
      </c>
      <c r="B877" s="1">
        <v>5011635662</v>
      </c>
      <c r="C877" t="s">
        <v>185</v>
      </c>
      <c r="D877" t="s">
        <v>287</v>
      </c>
      <c r="E877" s="2" t="str">
        <f>_xlfn.XLOOKUP(Cat_SKU[[#This Row],[Item]],CAT_MOD_v31[NÚMERO DE ARTÍCULO (SAP)],CAT_MOD_v31[RESUMIDO],"",0)</f>
        <v>Pulsar RS200</v>
      </c>
      <c r="F877" s="2" t="str">
        <f>_xlfn.XLOOKUP(Cat_SKU[[#This Row],[Item]],CAT_MOD_v31[NÚMERO DE ARTÍCULO (SAP)],CAT_MOD_v31[COLOR],"",0)</f>
        <v>Perla</v>
      </c>
      <c r="G877" s="2">
        <f>_xlfn.XLOOKUP(Cat_SKU[[#This Row],[Item]],CAT_MOD_v31[NÚMERO DE ARTÍCULO (SAP)],CAT_MOD_v31[AÑO],"",0)</f>
        <v>2025</v>
      </c>
    </row>
    <row r="878" spans="1:7" x14ac:dyDescent="0.35">
      <c r="A878" t="s">
        <v>155</v>
      </c>
      <c r="B878" s="1">
        <v>5011635671</v>
      </c>
      <c r="C878" t="s">
        <v>184</v>
      </c>
      <c r="D878" t="s">
        <v>284</v>
      </c>
      <c r="E878" s="2" t="str">
        <f>_xlfn.XLOOKUP(Cat_SKU[[#This Row],[Item]],CAT_MOD_v31[NÚMERO DE ARTÍCULO (SAP)],CAT_MOD_v31[RESUMIDO],"",0)</f>
        <v>Pulsar RS200</v>
      </c>
      <c r="F878" s="2" t="str">
        <f>_xlfn.XLOOKUP(Cat_SKU[[#This Row],[Item]],CAT_MOD_v31[NÚMERO DE ARTÍCULO (SAP)],CAT_MOD_v31[COLOR],"",0)</f>
        <v>Gris</v>
      </c>
      <c r="G878" s="2">
        <f>_xlfn.XLOOKUP(Cat_SKU[[#This Row],[Item]],CAT_MOD_v31[NÚMERO DE ARTÍCULO (SAP)],CAT_MOD_v31[AÑO],"",0)</f>
        <v>2025</v>
      </c>
    </row>
    <row r="879" spans="1:7" x14ac:dyDescent="0.35">
      <c r="A879" t="s">
        <v>155</v>
      </c>
      <c r="B879" s="1">
        <v>5011635689</v>
      </c>
      <c r="C879" t="s">
        <v>159</v>
      </c>
      <c r="D879" t="s">
        <v>257</v>
      </c>
      <c r="E879" s="2" t="str">
        <f>_xlfn.XLOOKUP(Cat_SKU[[#This Row],[Item]],CAT_MOD_v31[NÚMERO DE ARTÍCULO (SAP)],CAT_MOD_v31[RESUMIDO],"",0)</f>
        <v>Boxer BM150</v>
      </c>
      <c r="F879" s="2" t="str">
        <f>_xlfn.XLOOKUP(Cat_SKU[[#This Row],[Item]],CAT_MOD_v31[NÚMERO DE ARTÍCULO (SAP)],CAT_MOD_v31[COLOR],"",0)</f>
        <v>Negro</v>
      </c>
      <c r="G879" s="2">
        <f>_xlfn.XLOOKUP(Cat_SKU[[#This Row],[Item]],CAT_MOD_v31[NÚMERO DE ARTÍCULO (SAP)],CAT_MOD_v31[AÑO],"",0)</f>
        <v>2025</v>
      </c>
    </row>
    <row r="880" spans="1:7" x14ac:dyDescent="0.35">
      <c r="A880" t="s">
        <v>155</v>
      </c>
      <c r="B880" s="1">
        <v>5011635905</v>
      </c>
      <c r="C880" t="s">
        <v>161</v>
      </c>
      <c r="D880" t="s">
        <v>260</v>
      </c>
      <c r="E880" s="2" t="str">
        <f>_xlfn.XLOOKUP(Cat_SKU[[#This Row],[Item]],CAT_MOD_v31[NÚMERO DE ARTÍCULO (SAP)],CAT_MOD_v31[RESUMIDO],"",0)</f>
        <v>Dominar 250</v>
      </c>
      <c r="F880" s="2" t="str">
        <f>_xlfn.XLOOKUP(Cat_SKU[[#This Row],[Item]],CAT_MOD_v31[NÚMERO DE ARTÍCULO (SAP)],CAT_MOD_v31[COLOR],"",0)</f>
        <v>Rojo</v>
      </c>
      <c r="G880" s="2">
        <f>_xlfn.XLOOKUP(Cat_SKU[[#This Row],[Item]],CAT_MOD_v31[NÚMERO DE ARTÍCULO (SAP)],CAT_MOD_v31[AÑO],"",0)</f>
        <v>2025</v>
      </c>
    </row>
    <row r="881" spans="1:7" x14ac:dyDescent="0.35">
      <c r="A881" t="s">
        <v>155</v>
      </c>
      <c r="B881" s="1">
        <v>5011635913</v>
      </c>
      <c r="C881" t="s">
        <v>162</v>
      </c>
      <c r="D881" t="s">
        <v>258</v>
      </c>
      <c r="E881" s="2" t="str">
        <f>_xlfn.XLOOKUP(Cat_SKU[[#This Row],[Item]],CAT_MOD_v31[NÚMERO DE ARTÍCULO (SAP)],CAT_MOD_v31[RESUMIDO],"",0)</f>
        <v>Dominar 400</v>
      </c>
      <c r="F881" s="2" t="str">
        <f>_xlfn.XLOOKUP(Cat_SKU[[#This Row],[Item]],CAT_MOD_v31[NÚMERO DE ARTÍCULO (SAP)],CAT_MOD_v31[COLOR],"",0)</f>
        <v>Negro</v>
      </c>
      <c r="G881" s="2">
        <f>_xlfn.XLOOKUP(Cat_SKU[[#This Row],[Item]],CAT_MOD_v31[NÚMERO DE ARTÍCULO (SAP)],CAT_MOD_v31[AÑO],"",0)</f>
        <v>2025</v>
      </c>
    </row>
    <row r="882" spans="1:7" x14ac:dyDescent="0.35">
      <c r="A882" t="s">
        <v>155</v>
      </c>
      <c r="B882" s="1">
        <v>5011635921</v>
      </c>
      <c r="C882" t="s">
        <v>163</v>
      </c>
      <c r="D882" t="s">
        <v>261</v>
      </c>
      <c r="E882" s="2" t="str">
        <f>_xlfn.XLOOKUP(Cat_SKU[[#This Row],[Item]],CAT_MOD_v31[NÚMERO DE ARTÍCULO (SAP)],CAT_MOD_v31[RESUMIDO],"",0)</f>
        <v>Dominar 400</v>
      </c>
      <c r="F882" s="2" t="str">
        <f>_xlfn.XLOOKUP(Cat_SKU[[#This Row],[Item]],CAT_MOD_v31[NÚMERO DE ARTÍCULO (SAP)],CAT_MOD_v31[COLOR],"",0)</f>
        <v>Verde</v>
      </c>
      <c r="G882" s="2">
        <f>_xlfn.XLOOKUP(Cat_SKU[[#This Row],[Item]],CAT_MOD_v31[NÚMERO DE ARTÍCULO (SAP)],CAT_MOD_v31[AÑO],"",0)</f>
        <v>2025</v>
      </c>
    </row>
    <row r="883" spans="1:7" x14ac:dyDescent="0.35">
      <c r="A883" t="s">
        <v>155</v>
      </c>
      <c r="B883" s="1">
        <v>5011635930</v>
      </c>
      <c r="C883" t="s">
        <v>157</v>
      </c>
      <c r="D883" t="s">
        <v>255</v>
      </c>
      <c r="E883" s="2" t="str">
        <f>_xlfn.XLOOKUP(Cat_SKU[[#This Row],[Item]],CAT_MOD_v31[NÚMERO DE ARTÍCULO (SAP)],CAT_MOD_v31[RESUMIDO],"",0)</f>
        <v>Avenger Cruise 220</v>
      </c>
      <c r="F883" s="2" t="str">
        <f>_xlfn.XLOOKUP(Cat_SKU[[#This Row],[Item]],CAT_MOD_v31[NÚMERO DE ARTÍCULO (SAP)],CAT_MOD_v31[COLOR],"",0)</f>
        <v>Negro</v>
      </c>
      <c r="G883" s="2">
        <f>_xlfn.XLOOKUP(Cat_SKU[[#This Row],[Item]],CAT_MOD_v31[NÚMERO DE ARTÍCULO (SAP)],CAT_MOD_v31[AÑO],"",0)</f>
        <v>2025</v>
      </c>
    </row>
    <row r="884" spans="1:7" x14ac:dyDescent="0.35">
      <c r="A884" t="s">
        <v>155</v>
      </c>
      <c r="B884" s="1">
        <v>5011635948</v>
      </c>
      <c r="C884" t="s">
        <v>164</v>
      </c>
      <c r="D884" t="s">
        <v>357</v>
      </c>
      <c r="E884" s="2" t="str">
        <f>_xlfn.XLOOKUP(Cat_SKU[[#This Row],[Item]],CAT_MOD_v31[NÚMERO DE ARTÍCULO (SAP)],CAT_MOD_v31[RESUMIDO],"",0)</f>
        <v>Platina ES100</v>
      </c>
      <c r="F884" s="2" t="str">
        <f>_xlfn.XLOOKUP(Cat_SKU[[#This Row],[Item]],CAT_MOD_v31[NÚMERO DE ARTÍCULO (SAP)],CAT_MOD_v31[COLOR],"",0)</f>
        <v>Rojo</v>
      </c>
      <c r="G884" s="2">
        <f>_xlfn.XLOOKUP(Cat_SKU[[#This Row],[Item]],CAT_MOD_v31[NÚMERO DE ARTÍCULO (SAP)],CAT_MOD_v31[AÑO],"",0)</f>
        <v>2025</v>
      </c>
    </row>
    <row r="885" spans="1:7" x14ac:dyDescent="0.35">
      <c r="A885" t="s">
        <v>155</v>
      </c>
      <c r="B885" s="1">
        <v>5011635956</v>
      </c>
      <c r="C885" t="s">
        <v>166</v>
      </c>
      <c r="D885" t="s">
        <v>268</v>
      </c>
      <c r="E885" s="2" t="str">
        <f>_xlfn.XLOOKUP(Cat_SKU[[#This Row],[Item]],CAT_MOD_v31[NÚMERO DE ARTÍCULO (SAP)],CAT_MOD_v31[RESUMIDO],"",0)</f>
        <v>Pulsar N160 FI ABS</v>
      </c>
      <c r="F885" s="2" t="str">
        <f>_xlfn.XLOOKUP(Cat_SKU[[#This Row],[Item]],CAT_MOD_v31[NÚMERO DE ARTÍCULO (SAP)],CAT_MOD_v31[COLOR],"",0)</f>
        <v>Negro</v>
      </c>
      <c r="G885" s="2">
        <f>_xlfn.XLOOKUP(Cat_SKU[[#This Row],[Item]],CAT_MOD_v31[NÚMERO DE ARTÍCULO (SAP)],CAT_MOD_v31[AÑO],"",0)</f>
        <v>2025</v>
      </c>
    </row>
    <row r="886" spans="1:7" x14ac:dyDescent="0.35">
      <c r="A886" t="s">
        <v>155</v>
      </c>
      <c r="B886" s="1">
        <v>5011635964</v>
      </c>
      <c r="C886" t="s">
        <v>170</v>
      </c>
      <c r="D886" t="s">
        <v>274</v>
      </c>
      <c r="E886" s="2" t="str">
        <f>_xlfn.XLOOKUP(Cat_SKU[[#This Row],[Item]],CAT_MOD_v31[NÚMERO DE ARTÍCULO (SAP)],CAT_MOD_v31[RESUMIDO],"",0)</f>
        <v>Pulsar N250 FI ABS</v>
      </c>
      <c r="F886" s="2" t="str">
        <f>_xlfn.XLOOKUP(Cat_SKU[[#This Row],[Item]],CAT_MOD_v31[NÚMERO DE ARTÍCULO (SAP)],CAT_MOD_v31[COLOR],"",0)</f>
        <v>Negro</v>
      </c>
      <c r="G886" s="2">
        <f>_xlfn.XLOOKUP(Cat_SKU[[#This Row],[Item]],CAT_MOD_v31[NÚMERO DE ARTÍCULO (SAP)],CAT_MOD_v31[AÑO],"",0)</f>
        <v>2025</v>
      </c>
    </row>
    <row r="887" spans="1:7" x14ac:dyDescent="0.35">
      <c r="A887" t="s">
        <v>155</v>
      </c>
      <c r="B887" s="1">
        <v>5011635972</v>
      </c>
      <c r="C887" t="s">
        <v>171</v>
      </c>
      <c r="D887" t="s">
        <v>300</v>
      </c>
      <c r="E887" s="2" t="str">
        <f>_xlfn.XLOOKUP(Cat_SKU[[#This Row],[Item]],CAT_MOD_v31[NÚMERO DE ARTÍCULO (SAP)],CAT_MOD_v31[RESUMIDO],"",0)</f>
        <v>Pulsar N250 FI ABS</v>
      </c>
      <c r="F887" s="2" t="str">
        <f>_xlfn.XLOOKUP(Cat_SKU[[#This Row],[Item]],CAT_MOD_v31[NÚMERO DE ARTÍCULO (SAP)],CAT_MOD_v31[COLOR],"",0)</f>
        <v>Rojo</v>
      </c>
      <c r="G887" s="2">
        <f>_xlfn.XLOOKUP(Cat_SKU[[#This Row],[Item]],CAT_MOD_v31[NÚMERO DE ARTÍCULO (SAP)],CAT_MOD_v31[AÑO],"",0)</f>
        <v>2025</v>
      </c>
    </row>
    <row r="888" spans="1:7" x14ac:dyDescent="0.35">
      <c r="A888" t="s">
        <v>155</v>
      </c>
      <c r="B888" s="1">
        <v>5011635981</v>
      </c>
      <c r="C888" t="s">
        <v>172</v>
      </c>
      <c r="D888" t="s">
        <v>265</v>
      </c>
      <c r="E888" s="2" t="str">
        <f>_xlfn.XLOOKUP(Cat_SKU[[#This Row],[Item]],CAT_MOD_v31[NÚMERO DE ARTÍCULO (SAP)],CAT_MOD_v31[RESUMIDO],"",0)</f>
        <v>Pulsar NS125 UG</v>
      </c>
      <c r="F888" s="2" t="str">
        <f>_xlfn.XLOOKUP(Cat_SKU[[#This Row],[Item]],CAT_MOD_v31[NÚMERO DE ARTÍCULO (SAP)],CAT_MOD_v31[COLOR],"",0)</f>
        <v>Gris</v>
      </c>
      <c r="G888" s="2">
        <f>_xlfn.XLOOKUP(Cat_SKU[[#This Row],[Item]],CAT_MOD_v31[NÚMERO DE ARTÍCULO (SAP)],CAT_MOD_v31[AÑO],"",0)</f>
        <v>2025</v>
      </c>
    </row>
    <row r="889" spans="1:7" x14ac:dyDescent="0.35">
      <c r="A889" t="s">
        <v>155</v>
      </c>
      <c r="B889" s="1">
        <v>5011635999</v>
      </c>
      <c r="C889" t="s">
        <v>173</v>
      </c>
      <c r="D889" t="s">
        <v>269</v>
      </c>
      <c r="E889" s="2" t="str">
        <f>_xlfn.XLOOKUP(Cat_SKU[[#This Row],[Item]],CAT_MOD_v31[NÚMERO DE ARTÍCULO (SAP)],CAT_MOD_v31[RESUMIDO],"",0)</f>
        <v>Pulsar NS125 UG</v>
      </c>
      <c r="F889" s="2" t="str">
        <f>_xlfn.XLOOKUP(Cat_SKU[[#This Row],[Item]],CAT_MOD_v31[NÚMERO DE ARTÍCULO (SAP)],CAT_MOD_v31[COLOR],"",0)</f>
        <v>Naranja</v>
      </c>
      <c r="G889" s="2">
        <f>_xlfn.XLOOKUP(Cat_SKU[[#This Row],[Item]],CAT_MOD_v31[NÚMERO DE ARTÍCULO (SAP)],CAT_MOD_v31[AÑO],"",0)</f>
        <v>2025</v>
      </c>
    </row>
    <row r="890" spans="1:7" x14ac:dyDescent="0.35">
      <c r="A890" t="s">
        <v>155</v>
      </c>
      <c r="B890" s="1">
        <v>5011636006</v>
      </c>
      <c r="C890" t="s">
        <v>176</v>
      </c>
      <c r="D890" t="s">
        <v>267</v>
      </c>
      <c r="E890" s="2" t="str">
        <f>_xlfn.XLOOKUP(Cat_SKU[[#This Row],[Item]],CAT_MOD_v31[NÚMERO DE ARTÍCULO (SAP)],CAT_MOD_v31[RESUMIDO],"",0)</f>
        <v>Pulsar NS160 UG</v>
      </c>
      <c r="F890" s="2" t="str">
        <f>_xlfn.XLOOKUP(Cat_SKU[[#This Row],[Item]],CAT_MOD_v31[NÚMERO DE ARTÍCULO (SAP)],CAT_MOD_v31[COLOR],"",0)</f>
        <v>Perla</v>
      </c>
      <c r="G890" s="2">
        <f>_xlfn.XLOOKUP(Cat_SKU[[#This Row],[Item]],CAT_MOD_v31[NÚMERO DE ARTÍCULO (SAP)],CAT_MOD_v31[AÑO],"",0)</f>
        <v>2025</v>
      </c>
    </row>
    <row r="891" spans="1:7" x14ac:dyDescent="0.35">
      <c r="A891" t="s">
        <v>155</v>
      </c>
      <c r="B891" s="1">
        <v>5011636014</v>
      </c>
      <c r="C891" t="s">
        <v>175</v>
      </c>
      <c r="D891" t="s">
        <v>266</v>
      </c>
      <c r="E891" s="2" t="str">
        <f>_xlfn.XLOOKUP(Cat_SKU[[#This Row],[Item]],CAT_MOD_v31[NÚMERO DE ARTÍCULO (SAP)],CAT_MOD_v31[RESUMIDO],"",0)</f>
        <v>Pulsar NS160 UG</v>
      </c>
      <c r="F891" s="2" t="str">
        <f>_xlfn.XLOOKUP(Cat_SKU[[#This Row],[Item]],CAT_MOD_v31[NÚMERO DE ARTÍCULO (SAP)],CAT_MOD_v31[COLOR],"",0)</f>
        <v>Negro</v>
      </c>
      <c r="G891" s="2">
        <f>_xlfn.XLOOKUP(Cat_SKU[[#This Row],[Item]],CAT_MOD_v31[NÚMERO DE ARTÍCULO (SAP)],CAT_MOD_v31[AÑO],"",0)</f>
        <v>2025</v>
      </c>
    </row>
    <row r="892" spans="1:7" x14ac:dyDescent="0.35">
      <c r="A892" t="s">
        <v>155</v>
      </c>
      <c r="B892" s="1">
        <v>5011673696</v>
      </c>
      <c r="C892" t="s">
        <v>177</v>
      </c>
      <c r="D892" t="s">
        <v>283</v>
      </c>
      <c r="E892" s="2" t="str">
        <f>_xlfn.XLOOKUP(Cat_SKU[[#This Row],[Item]],CAT_MOD_v31[NÚMERO DE ARTÍCULO (SAP)],CAT_MOD_v31[RESUMIDO],"",0)</f>
        <v>Pulsar NS200 UG</v>
      </c>
      <c r="F892" s="2" t="str">
        <f>_xlfn.XLOOKUP(Cat_SKU[[#This Row],[Item]],CAT_MOD_v31[NÚMERO DE ARTÍCULO (SAP)],CAT_MOD_v31[COLOR],"",0)</f>
        <v>Gris</v>
      </c>
      <c r="G892" s="2">
        <f>_xlfn.XLOOKUP(Cat_SKU[[#This Row],[Item]],CAT_MOD_v31[NÚMERO DE ARTÍCULO (SAP)],CAT_MOD_v31[AÑO],"",0)</f>
        <v>2025</v>
      </c>
    </row>
    <row r="893" spans="1:7" x14ac:dyDescent="0.35">
      <c r="A893" t="s">
        <v>155</v>
      </c>
      <c r="B893" s="1">
        <v>5011678523</v>
      </c>
      <c r="C893" t="s">
        <v>178</v>
      </c>
      <c r="D893" t="s">
        <v>285</v>
      </c>
      <c r="E893" s="2" t="str">
        <f>_xlfn.XLOOKUP(Cat_SKU[[#This Row],[Item]],CAT_MOD_v31[NÚMERO DE ARTÍCULO (SAP)],CAT_MOD_v31[RESUMIDO],"",0)</f>
        <v>Pulsar NS200 UG</v>
      </c>
      <c r="F893" s="2" t="str">
        <f>_xlfn.XLOOKUP(Cat_SKU[[#This Row],[Item]],CAT_MOD_v31[NÚMERO DE ARTÍCULO (SAP)],CAT_MOD_v31[COLOR],"",0)</f>
        <v>Negro</v>
      </c>
      <c r="G893" s="2">
        <f>_xlfn.XLOOKUP(Cat_SKU[[#This Row],[Item]],CAT_MOD_v31[NÚMERO DE ARTÍCULO (SAP)],CAT_MOD_v31[AÑO],"",0)</f>
        <v>2025</v>
      </c>
    </row>
    <row r="894" spans="1:7" x14ac:dyDescent="0.35">
      <c r="A894" t="s">
        <v>155</v>
      </c>
      <c r="B894" s="1">
        <v>5011690892</v>
      </c>
      <c r="C894" t="s">
        <v>179</v>
      </c>
      <c r="D894" t="s">
        <v>286</v>
      </c>
      <c r="E894" s="2" t="str">
        <f>_xlfn.XLOOKUP(Cat_SKU[[#This Row],[Item]],CAT_MOD_v31[NÚMERO DE ARTÍCULO (SAP)],CAT_MOD_v31[RESUMIDO],"",0)</f>
        <v>Pulsar NS200 UG</v>
      </c>
      <c r="F894" s="2" t="str">
        <f>_xlfn.XLOOKUP(Cat_SKU[[#This Row],[Item]],CAT_MOD_v31[NÚMERO DE ARTÍCULO (SAP)],CAT_MOD_v31[COLOR],"",0)</f>
        <v>Perla</v>
      </c>
      <c r="G894" s="2">
        <f>_xlfn.XLOOKUP(Cat_SKU[[#This Row],[Item]],CAT_MOD_v31[NÚMERO DE ARTÍCULO (SAP)],CAT_MOD_v31[AÑO],"",0)</f>
        <v>2025</v>
      </c>
    </row>
    <row r="895" spans="1:7" x14ac:dyDescent="0.35">
      <c r="A895" t="s">
        <v>155</v>
      </c>
      <c r="B895" s="1">
        <v>5011698346</v>
      </c>
      <c r="C895" t="s">
        <v>160</v>
      </c>
      <c r="D895" t="s">
        <v>259</v>
      </c>
      <c r="E895" s="2" t="str">
        <f>_xlfn.XLOOKUP(Cat_SKU[[#This Row],[Item]],CAT_MOD_v31[NÚMERO DE ARTÍCULO (SAP)],CAT_MOD_v31[RESUMIDO],"",0)</f>
        <v>Dominar 250</v>
      </c>
      <c r="F895" s="2" t="str">
        <f>_xlfn.XLOOKUP(Cat_SKU[[#This Row],[Item]],CAT_MOD_v31[NÚMERO DE ARTÍCULO (SAP)],CAT_MOD_v31[COLOR],"",0)</f>
        <v>Negro</v>
      </c>
      <c r="G895" s="2">
        <f>_xlfn.XLOOKUP(Cat_SKU[[#This Row],[Item]],CAT_MOD_v31[NÚMERO DE ARTÍCULO (SAP)],CAT_MOD_v31[AÑO],"",0)</f>
        <v>2025</v>
      </c>
    </row>
    <row r="896" spans="1:7" x14ac:dyDescent="0.35">
      <c r="A896" t="s">
        <v>155</v>
      </c>
      <c r="B896" s="1">
        <v>5012021838</v>
      </c>
      <c r="C896" t="s">
        <v>169</v>
      </c>
      <c r="D896" t="s">
        <v>273</v>
      </c>
      <c r="E896" s="2" t="str">
        <f>_xlfn.XLOOKUP(Cat_SKU[[#This Row],[Item]],CAT_MOD_v31[NÚMERO DE ARTÍCULO (SAP)],CAT_MOD_v31[RESUMIDO],"",0)</f>
        <v>Pulsar N250</v>
      </c>
      <c r="F896" s="2" t="str">
        <f>_xlfn.XLOOKUP(Cat_SKU[[#This Row],[Item]],CAT_MOD_v31[NÚMERO DE ARTÍCULO (SAP)],CAT_MOD_v31[COLOR],"",0)</f>
        <v>Negro</v>
      </c>
      <c r="G896" s="2">
        <f>_xlfn.XLOOKUP(Cat_SKU[[#This Row],[Item]],CAT_MOD_v31[NÚMERO DE ARTÍCULO (SAP)],CAT_MOD_v31[AÑO],"",0)</f>
        <v>2025</v>
      </c>
    </row>
    <row r="897" spans="1:7" x14ac:dyDescent="0.35">
      <c r="A897" t="s">
        <v>155</v>
      </c>
      <c r="B897" s="1">
        <v>5012034816</v>
      </c>
      <c r="C897" t="s">
        <v>174</v>
      </c>
      <c r="D897" t="s">
        <v>282</v>
      </c>
      <c r="E897" s="2" t="str">
        <f>_xlfn.XLOOKUP(Cat_SKU[[#This Row],[Item]],CAT_MOD_v31[NÚMERO DE ARTÍCULO (SAP)],CAT_MOD_v31[RESUMIDO],"",0)</f>
        <v>Pulsar NS160 UG</v>
      </c>
      <c r="F897" s="2" t="str">
        <f>_xlfn.XLOOKUP(Cat_SKU[[#This Row],[Item]],CAT_MOD_v31[NÚMERO DE ARTÍCULO (SAP)],CAT_MOD_v31[COLOR],"",0)</f>
        <v>Gris</v>
      </c>
      <c r="G897" s="2">
        <f>_xlfn.XLOOKUP(Cat_SKU[[#This Row],[Item]],CAT_MOD_v31[NÚMERO DE ARTÍCULO (SAP)],CAT_MOD_v31[AÑO],"",0)</f>
        <v>2025</v>
      </c>
    </row>
    <row r="898" spans="1:7" x14ac:dyDescent="0.35">
      <c r="A898" t="s">
        <v>155</v>
      </c>
      <c r="B898" s="1">
        <v>5012373017</v>
      </c>
      <c r="C898" t="s">
        <v>182</v>
      </c>
      <c r="D898" t="s">
        <v>281</v>
      </c>
      <c r="E898" s="2" t="str">
        <f>_xlfn.XLOOKUP(Cat_SKU[[#This Row],[Item]],CAT_MOD_v31[NÚMERO DE ARTÍCULO (SAP)],CAT_MOD_v31[RESUMIDO],"",0)</f>
        <v>Pulsar NS400z</v>
      </c>
      <c r="F898" s="2" t="str">
        <f>_xlfn.XLOOKUP(Cat_SKU[[#This Row],[Item]],CAT_MOD_v31[NÚMERO DE ARTÍCULO (SAP)],CAT_MOD_v31[COLOR],"",0)</f>
        <v>Perla</v>
      </c>
      <c r="G898" s="2">
        <f>_xlfn.XLOOKUP(Cat_SKU[[#This Row],[Item]],CAT_MOD_v31[NÚMERO DE ARTÍCULO (SAP)],CAT_MOD_v31[AÑO],"",0)</f>
        <v>2025</v>
      </c>
    </row>
    <row r="899" spans="1:7" x14ac:dyDescent="0.35">
      <c r="A899" t="s">
        <v>155</v>
      </c>
      <c r="B899" s="1">
        <v>5012373076</v>
      </c>
      <c r="C899" t="s">
        <v>183</v>
      </c>
      <c r="D899" t="s">
        <v>279</v>
      </c>
      <c r="E899" s="2" t="str">
        <f>_xlfn.XLOOKUP(Cat_SKU[[#This Row],[Item]],CAT_MOD_v31[NÚMERO DE ARTÍCULO (SAP)],CAT_MOD_v31[RESUMIDO],"",0)</f>
        <v>Pulsar NS400z</v>
      </c>
      <c r="F899" s="2" t="str">
        <f>_xlfn.XLOOKUP(Cat_SKU[[#This Row],[Item]],CAT_MOD_v31[NÚMERO DE ARTÍCULO (SAP)],CAT_MOD_v31[COLOR],"",0)</f>
        <v>Rojo</v>
      </c>
      <c r="G899" s="2">
        <f>_xlfn.XLOOKUP(Cat_SKU[[#This Row],[Item]],CAT_MOD_v31[NÚMERO DE ARTÍCULO (SAP)],CAT_MOD_v31[AÑO],"",0)</f>
        <v>2025</v>
      </c>
    </row>
    <row r="900" spans="1:7" x14ac:dyDescent="0.35">
      <c r="A900" t="s">
        <v>155</v>
      </c>
      <c r="B900" s="1">
        <v>5012384205</v>
      </c>
      <c r="C900" t="s">
        <v>181</v>
      </c>
      <c r="D900" t="s">
        <v>278</v>
      </c>
      <c r="E900" s="2" t="str">
        <f>_xlfn.XLOOKUP(Cat_SKU[[#This Row],[Item]],CAT_MOD_v31[NÚMERO DE ARTÍCULO (SAP)],CAT_MOD_v31[RESUMIDO],"",0)</f>
        <v>Pulsar NS400z</v>
      </c>
      <c r="F900" s="2" t="str">
        <f>_xlfn.XLOOKUP(Cat_SKU[[#This Row],[Item]],CAT_MOD_v31[NÚMERO DE ARTÍCULO (SAP)],CAT_MOD_v31[COLOR],"",0)</f>
        <v>Negro</v>
      </c>
      <c r="G900" s="2">
        <f>_xlfn.XLOOKUP(Cat_SKU[[#This Row],[Item]],CAT_MOD_v31[NÚMERO DE ARTÍCULO (SAP)],CAT_MOD_v31[AÑO],"",0)</f>
        <v>2025</v>
      </c>
    </row>
    <row r="901" spans="1:7" x14ac:dyDescent="0.35">
      <c r="A901" t="s">
        <v>155</v>
      </c>
      <c r="B901" s="1">
        <v>5012387328</v>
      </c>
      <c r="C901" t="s">
        <v>180</v>
      </c>
      <c r="D901" t="s">
        <v>280</v>
      </c>
      <c r="E901" s="2" t="str">
        <f>_xlfn.XLOOKUP(Cat_SKU[[#This Row],[Item]],CAT_MOD_v31[NÚMERO DE ARTÍCULO (SAP)],CAT_MOD_v31[RESUMIDO],"",0)</f>
        <v>Pulsar NS400z</v>
      </c>
      <c r="F901" s="2" t="str">
        <f>_xlfn.XLOOKUP(Cat_SKU[[#This Row],[Item]],CAT_MOD_v31[NÚMERO DE ARTÍCULO (SAP)],CAT_MOD_v31[COLOR],"",0)</f>
        <v>Gris</v>
      </c>
      <c r="G901" s="2">
        <f>_xlfn.XLOOKUP(Cat_SKU[[#This Row],[Item]],CAT_MOD_v31[NÚMERO DE ARTÍCULO (SAP)],CAT_MOD_v31[AÑO],"",0)</f>
        <v>2025</v>
      </c>
    </row>
    <row r="902" spans="1:7" x14ac:dyDescent="0.35">
      <c r="A902" t="s">
        <v>155</v>
      </c>
      <c r="B902" s="1">
        <v>5012387336</v>
      </c>
      <c r="C902" t="s">
        <v>167</v>
      </c>
      <c r="D902" t="s">
        <v>276</v>
      </c>
      <c r="E902" s="2" t="str">
        <f>_xlfn.XLOOKUP(Cat_SKU[[#This Row],[Item]],CAT_MOD_v31[NÚMERO DE ARTÍCULO (SAP)],CAT_MOD_v31[RESUMIDO],"",0)</f>
        <v>Pulsar N250</v>
      </c>
      <c r="F902" s="2" t="str">
        <f>_xlfn.XLOOKUP(Cat_SKU[[#This Row],[Item]],CAT_MOD_v31[NÚMERO DE ARTÍCULO (SAP)],CAT_MOD_v31[COLOR],"",0)</f>
        <v>Amarillo</v>
      </c>
      <c r="G902" s="2">
        <f>_xlfn.XLOOKUP(Cat_SKU[[#This Row],[Item]],CAT_MOD_v31[NÚMERO DE ARTÍCULO (SAP)],CAT_MOD_v31[AÑO],"",0)</f>
        <v>2025</v>
      </c>
    </row>
    <row r="903" spans="1:7" x14ac:dyDescent="0.35">
      <c r="A903" t="s">
        <v>155</v>
      </c>
      <c r="B903" s="1">
        <v>5012442868</v>
      </c>
      <c r="C903" t="s">
        <v>168</v>
      </c>
      <c r="D903" t="s">
        <v>275</v>
      </c>
      <c r="E903" s="2" t="str">
        <f>_xlfn.XLOOKUP(Cat_SKU[[#This Row],[Item]],CAT_MOD_v31[NÚMERO DE ARTÍCULO (SAP)],CAT_MOD_v31[RESUMIDO],"",0)</f>
        <v>Pulsar N250</v>
      </c>
      <c r="F903" s="2" t="str">
        <f>_xlfn.XLOOKUP(Cat_SKU[[#This Row],[Item]],CAT_MOD_v31[NÚMERO DE ARTÍCULO (SAP)],CAT_MOD_v31[COLOR],"",0)</f>
        <v>Azul</v>
      </c>
      <c r="G903" s="2">
        <f>_xlfn.XLOOKUP(Cat_SKU[[#This Row],[Item]],CAT_MOD_v31[NÚMERO DE ARTÍCULO (SAP)],CAT_MOD_v31[AÑO],"",0)</f>
        <v>2025</v>
      </c>
    </row>
    <row r="904" spans="1:7" x14ac:dyDescent="0.35">
      <c r="A904" t="s">
        <v>155</v>
      </c>
      <c r="B904" s="1">
        <v>5012921839</v>
      </c>
      <c r="C904" t="s">
        <v>122</v>
      </c>
      <c r="D904" t="s">
        <v>359</v>
      </c>
      <c r="E904" s="2" t="str">
        <f>_xlfn.XLOOKUP(Cat_SKU[[#This Row],[Item]],CAT_MOD_v31[NÚMERO DE ARTÍCULO (SAP)],CAT_MOD_v31[RESUMIDO],"",0)</f>
        <v>Pulsar N250 FI ABS UG</v>
      </c>
      <c r="F904" s="2" t="str">
        <f>_xlfn.XLOOKUP(Cat_SKU[[#This Row],[Item]],CAT_MOD_v31[NÚMERO DE ARTÍCULO (SAP)],CAT_MOD_v31[COLOR],"",0)</f>
        <v>Negro</v>
      </c>
      <c r="G904" s="2">
        <f>_xlfn.XLOOKUP(Cat_SKU[[#This Row],[Item]],CAT_MOD_v31[NÚMERO DE ARTÍCULO (SAP)],CAT_MOD_v31[AÑO],"",0)</f>
        <v>2025</v>
      </c>
    </row>
    <row r="905" spans="1:7" x14ac:dyDescent="0.35">
      <c r="A905" t="s">
        <v>155</v>
      </c>
      <c r="B905" s="1">
        <v>5012921847</v>
      </c>
      <c r="C905" t="s">
        <v>123</v>
      </c>
      <c r="D905" t="s">
        <v>272</v>
      </c>
      <c r="E905" s="2" t="str">
        <f>_xlfn.XLOOKUP(Cat_SKU[[#This Row],[Item]],CAT_MOD_v31[NÚMERO DE ARTÍCULO (SAP)],CAT_MOD_v31[RESUMIDO],"",0)</f>
        <v>Pulsar N250 FI ABS UG</v>
      </c>
      <c r="F905" s="2" t="str">
        <f>_xlfn.XLOOKUP(Cat_SKU[[#This Row],[Item]],CAT_MOD_v31[NÚMERO DE ARTÍCULO (SAP)],CAT_MOD_v31[COLOR],"",0)</f>
        <v>Rojo</v>
      </c>
      <c r="G905" s="2">
        <f>_xlfn.XLOOKUP(Cat_SKU[[#This Row],[Item]],CAT_MOD_v31[NÚMERO DE ARTÍCULO (SAP)],CAT_MOD_v31[AÑO],"",0)</f>
        <v>2025</v>
      </c>
    </row>
    <row r="906" spans="1:7" x14ac:dyDescent="0.35">
      <c r="A906" t="s">
        <v>155</v>
      </c>
      <c r="B906" s="1">
        <v>5013282848</v>
      </c>
      <c r="C906" t="s">
        <v>136</v>
      </c>
      <c r="D906" t="s">
        <v>358</v>
      </c>
      <c r="E906" s="2" t="str">
        <f>_xlfn.XLOOKUP(Cat_SKU[[#This Row],[Item]],CAT_MOD_v31[NÚMERO DE ARTÍCULO (SAP)],CAT_MOD_v31[RESUMIDO],"",0)</f>
        <v>Pulsar N160 FI ABS UG</v>
      </c>
      <c r="F906" s="2" t="str">
        <f>_xlfn.XLOOKUP(Cat_SKU[[#This Row],[Item]],CAT_MOD_v31[NÚMERO DE ARTÍCULO (SAP)],CAT_MOD_v31[COLOR],"",0)</f>
        <v>Negro</v>
      </c>
      <c r="G906" s="2">
        <f>_xlfn.XLOOKUP(Cat_SKU[[#This Row],[Item]],CAT_MOD_v31[NÚMERO DE ARTÍCULO (SAP)],CAT_MOD_v31[AÑO],"",0)</f>
        <v>2025</v>
      </c>
    </row>
    <row r="907" spans="1:7" x14ac:dyDescent="0.35">
      <c r="A907" t="s">
        <v>155</v>
      </c>
      <c r="B907" s="1">
        <v>5013941841</v>
      </c>
      <c r="C907" t="s">
        <v>123</v>
      </c>
      <c r="D907" t="s">
        <v>360</v>
      </c>
      <c r="E907" s="2" t="str">
        <f>_xlfn.XLOOKUP(Cat_SKU[[#This Row],[Item]],CAT_MOD_v31[NÚMERO DE ARTÍCULO (SAP)],CAT_MOD_v31[RESUMIDO],"",0)</f>
        <v>Pulsar N250 FI ABS</v>
      </c>
      <c r="F907" s="2" t="str">
        <f>_xlfn.XLOOKUP(Cat_SKU[[#This Row],[Item]],CAT_MOD_v31[NÚMERO DE ARTÍCULO (SAP)],CAT_MOD_v31[COLOR],"",0)</f>
        <v>Rojo</v>
      </c>
      <c r="G907" s="2">
        <f>_xlfn.XLOOKUP(Cat_SKU[[#This Row],[Item]],CAT_MOD_v31[NÚMERO DE ARTÍCULO (SAP)],CAT_MOD_v31[AÑO],"",0)</f>
        <v>2026</v>
      </c>
    </row>
    <row r="908" spans="1:7" x14ac:dyDescent="0.35">
      <c r="A908" t="s">
        <v>155</v>
      </c>
      <c r="B908" s="1">
        <v>5013941841</v>
      </c>
      <c r="C908" t="s">
        <v>127</v>
      </c>
      <c r="D908" t="s">
        <v>406</v>
      </c>
      <c r="E908" s="2" t="str">
        <f>_xlfn.XLOOKUP(Cat_SKU[[#This Row],[Item]],CAT_MOD_v31[NÚMERO DE ARTÍCULO (SAP)],CAT_MOD_v31[RESUMIDO],"",0)</f>
        <v>Pulsar N250 FI ABS UG</v>
      </c>
      <c r="F908" s="2" t="str">
        <f>_xlfn.XLOOKUP(Cat_SKU[[#This Row],[Item]],CAT_MOD_v31[NÚMERO DE ARTÍCULO (SAP)],CAT_MOD_v31[COLOR],"",0)</f>
        <v>Perla</v>
      </c>
      <c r="G908" s="2">
        <f>_xlfn.XLOOKUP(Cat_SKU[[#This Row],[Item]],CAT_MOD_v31[NÚMERO DE ARTÍCULO (SAP)],CAT_MOD_v31[AÑO],"",0)</f>
        <v>2025</v>
      </c>
    </row>
    <row r="909" spans="1:7" x14ac:dyDescent="0.35">
      <c r="A909" t="s">
        <v>155</v>
      </c>
      <c r="B909" s="1">
        <v>5013943747</v>
      </c>
      <c r="C909" t="s">
        <v>135</v>
      </c>
      <c r="D909" t="s">
        <v>305</v>
      </c>
      <c r="E909" s="2" t="str">
        <f>_xlfn.XLOOKUP(Cat_SKU[[#This Row],[Item]],CAT_MOD_v31[NÚMERO DE ARTÍCULO (SAP)],CAT_MOD_v31[RESUMIDO],"",0)</f>
        <v>Pulsar N250</v>
      </c>
      <c r="F909" s="2" t="str">
        <f>_xlfn.XLOOKUP(Cat_SKU[[#This Row],[Item]],CAT_MOD_v31[NÚMERO DE ARTÍCULO (SAP)],CAT_MOD_v31[COLOR],"",0)</f>
        <v>Negro</v>
      </c>
      <c r="G909" s="2">
        <f>_xlfn.XLOOKUP(Cat_SKU[[#This Row],[Item]],CAT_MOD_v31[NÚMERO DE ARTÍCULO (SAP)],CAT_MOD_v31[AÑO],"",0)</f>
        <v>2026</v>
      </c>
    </row>
    <row r="910" spans="1:7" x14ac:dyDescent="0.35">
      <c r="A910" t="s">
        <v>155</v>
      </c>
      <c r="B910" s="1">
        <v>5013943755</v>
      </c>
      <c r="C910" t="s">
        <v>125</v>
      </c>
      <c r="D910" t="s">
        <v>270</v>
      </c>
      <c r="E910" s="2" t="str">
        <f>_xlfn.XLOOKUP(Cat_SKU[[#This Row],[Item]],CAT_MOD_v31[NÚMERO DE ARTÍCULO (SAP)],CAT_MOD_v31[RESUMIDO],"",0)</f>
        <v>Pulsar N250 FI ABS</v>
      </c>
      <c r="F910" s="2" t="str">
        <f>_xlfn.XLOOKUP(Cat_SKU[[#This Row],[Item]],CAT_MOD_v31[NÚMERO DE ARTÍCULO (SAP)],CAT_MOD_v31[COLOR],"",0)</f>
        <v>Negro</v>
      </c>
      <c r="G910" s="2">
        <f>_xlfn.XLOOKUP(Cat_SKU[[#This Row],[Item]],CAT_MOD_v31[NÚMERO DE ARTÍCULO (SAP)],CAT_MOD_v31[AÑO],"",0)</f>
        <v>2026</v>
      </c>
    </row>
    <row r="911" spans="1:7" x14ac:dyDescent="0.35">
      <c r="A911" t="s">
        <v>155</v>
      </c>
      <c r="B911" s="1">
        <v>5013943763</v>
      </c>
      <c r="C911" t="s">
        <v>150</v>
      </c>
      <c r="D911" t="s">
        <v>271</v>
      </c>
      <c r="E911" s="2" t="str">
        <f>_xlfn.XLOOKUP(Cat_SKU[[#This Row],[Item]],CAT_MOD_v31[NÚMERO DE ARTÍCULO (SAP)],CAT_MOD_v31[RESUMIDO],"",0)</f>
        <v>Pulsar N160</v>
      </c>
      <c r="F911" s="2" t="str">
        <f>_xlfn.XLOOKUP(Cat_SKU[[#This Row],[Item]],CAT_MOD_v31[NÚMERO DE ARTÍCULO (SAP)],CAT_MOD_v31[COLOR],"",0)</f>
        <v>Negro</v>
      </c>
      <c r="G911" s="2">
        <f>_xlfn.XLOOKUP(Cat_SKU[[#This Row],[Item]],CAT_MOD_v31[NÚMERO DE ARTÍCULO (SAP)],CAT_MOD_v31[AÑO],"",0)</f>
        <v>2026</v>
      </c>
    </row>
    <row r="912" spans="1:7" x14ac:dyDescent="0.35">
      <c r="A912" t="s">
        <v>155</v>
      </c>
      <c r="B912" s="1">
        <v>5014137396</v>
      </c>
      <c r="C912" t="s">
        <v>107</v>
      </c>
      <c r="D912" t="s">
        <v>310</v>
      </c>
      <c r="E912" s="2" t="str">
        <f>_xlfn.XLOOKUP(Cat_SKU[[#This Row],[Item]],CAT_MOD_v31[NÚMERO DE ARTÍCULO (SAP)],CAT_MOD_v31[RESUMIDO],"",0)</f>
        <v>Pulsar NS160 UG</v>
      </c>
      <c r="F912" s="2" t="str">
        <f>_xlfn.XLOOKUP(Cat_SKU[[#This Row],[Item]],CAT_MOD_v31[NÚMERO DE ARTÍCULO (SAP)],CAT_MOD_v31[COLOR],"",0)</f>
        <v>Gris</v>
      </c>
      <c r="G912" s="2">
        <f>_xlfn.XLOOKUP(Cat_SKU[[#This Row],[Item]],CAT_MOD_v31[NÚMERO DE ARTÍCULO (SAP)],CAT_MOD_v31[AÑO],"",0)</f>
        <v>2026</v>
      </c>
    </row>
    <row r="913" spans="1:7" x14ac:dyDescent="0.35">
      <c r="A913" t="s">
        <v>155</v>
      </c>
      <c r="B913" s="1">
        <v>5014137400</v>
      </c>
      <c r="C913" t="s">
        <v>109</v>
      </c>
      <c r="D913" t="s">
        <v>312</v>
      </c>
      <c r="E913" s="2" t="str">
        <f>_xlfn.XLOOKUP(Cat_SKU[[#This Row],[Item]],CAT_MOD_v31[NÚMERO DE ARTÍCULO (SAP)],CAT_MOD_v31[RESUMIDO],"",0)</f>
        <v>Pulsar NS160 UG</v>
      </c>
      <c r="F913" s="2" t="str">
        <f>_xlfn.XLOOKUP(Cat_SKU[[#This Row],[Item]],CAT_MOD_v31[NÚMERO DE ARTÍCULO (SAP)],CAT_MOD_v31[COLOR],"",0)</f>
        <v>Negro</v>
      </c>
      <c r="G913" s="2">
        <f>_xlfn.XLOOKUP(Cat_SKU[[#This Row],[Item]],CAT_MOD_v31[NÚMERO DE ARTÍCULO (SAP)],CAT_MOD_v31[AÑO],"",0)</f>
        <v>2026</v>
      </c>
    </row>
    <row r="914" spans="1:7" x14ac:dyDescent="0.35">
      <c r="A914" t="s">
        <v>155</v>
      </c>
      <c r="B914" s="1">
        <v>5014137418</v>
      </c>
      <c r="C914" t="s">
        <v>111</v>
      </c>
      <c r="D914" t="s">
        <v>311</v>
      </c>
      <c r="E914" s="2" t="str">
        <f>_xlfn.XLOOKUP(Cat_SKU[[#This Row],[Item]],CAT_MOD_v31[NÚMERO DE ARTÍCULO (SAP)],CAT_MOD_v31[RESUMIDO],"",0)</f>
        <v>Pulsar NS160 UG</v>
      </c>
      <c r="F914" s="2" t="str">
        <f>_xlfn.XLOOKUP(Cat_SKU[[#This Row],[Item]],CAT_MOD_v31[NÚMERO DE ARTÍCULO (SAP)],CAT_MOD_v31[COLOR],"",0)</f>
        <v>Perla</v>
      </c>
      <c r="G914" s="2">
        <f>_xlfn.XLOOKUP(Cat_SKU[[#This Row],[Item]],CAT_MOD_v31[NÚMERO DE ARTÍCULO (SAP)],CAT_MOD_v31[AÑO],"",0)</f>
        <v>2026</v>
      </c>
    </row>
    <row r="915" spans="1:7" x14ac:dyDescent="0.35">
      <c r="A915" t="s">
        <v>155</v>
      </c>
      <c r="B915" s="1">
        <v>5014191706</v>
      </c>
      <c r="C915" t="s">
        <v>129</v>
      </c>
      <c r="D915" t="s">
        <v>262</v>
      </c>
      <c r="E915" s="2" t="str">
        <f>_xlfn.XLOOKUP(Cat_SKU[[#This Row],[Item]],CAT_MOD_v31[NÚMERO DE ARTÍCULO (SAP)],CAT_MOD_v31[RESUMIDO],"",0)</f>
        <v>Pulsar N125 FI-CBS</v>
      </c>
      <c r="F915" s="2" t="str">
        <f>_xlfn.XLOOKUP(Cat_SKU[[#This Row],[Item]],CAT_MOD_v31[NÚMERO DE ARTÍCULO (SAP)],CAT_MOD_v31[COLOR],"",0)</f>
        <v>Purpura</v>
      </c>
      <c r="G915" s="2">
        <f>_xlfn.XLOOKUP(Cat_SKU[[#This Row],[Item]],CAT_MOD_v31[NÚMERO DE ARTÍCULO (SAP)],CAT_MOD_v31[AÑO],"",0)</f>
        <v>2026</v>
      </c>
    </row>
    <row r="916" spans="1:7" x14ac:dyDescent="0.35">
      <c r="A916" t="s">
        <v>155</v>
      </c>
      <c r="B916" s="1">
        <v>5014191714</v>
      </c>
      <c r="C916" t="s">
        <v>130</v>
      </c>
      <c r="D916" t="s">
        <v>263</v>
      </c>
      <c r="E916" s="2" t="str">
        <f>_xlfn.XLOOKUP(Cat_SKU[[#This Row],[Item]],CAT_MOD_v31[NÚMERO DE ARTÍCULO (SAP)],CAT_MOD_v31[RESUMIDO],"",0)</f>
        <v>Pulsar N125 FI-CBS</v>
      </c>
      <c r="F916" s="2" t="str">
        <f>_xlfn.XLOOKUP(Cat_SKU[[#This Row],[Item]],CAT_MOD_v31[NÚMERO DE ARTÍCULO (SAP)],CAT_MOD_v31[COLOR],"",0)</f>
        <v>Rojo</v>
      </c>
      <c r="G916" s="2">
        <f>_xlfn.XLOOKUP(Cat_SKU[[#This Row],[Item]],CAT_MOD_v31[NÚMERO DE ARTÍCULO (SAP)],CAT_MOD_v31[AÑO],"",0)</f>
        <v>2026</v>
      </c>
    </row>
    <row r="917" spans="1:7" x14ac:dyDescent="0.35">
      <c r="A917" t="s">
        <v>155</v>
      </c>
      <c r="B917" s="1">
        <v>5014397029</v>
      </c>
      <c r="C917" t="s">
        <v>151</v>
      </c>
      <c r="D917" t="s">
        <v>313</v>
      </c>
      <c r="E917" s="2" t="str">
        <f>_xlfn.XLOOKUP(Cat_SKU[[#This Row],[Item]],CAT_MOD_v31[NÚMERO DE ARTÍCULO (SAP)],CAT_MOD_v31[RESUMIDO],"",0)</f>
        <v>Pulsar N250</v>
      </c>
      <c r="F917" s="2" t="str">
        <f>_xlfn.XLOOKUP(Cat_SKU[[#This Row],[Item]],CAT_MOD_v31[NÚMERO DE ARTÍCULO (SAP)],CAT_MOD_v31[COLOR],"",0)</f>
        <v>Azul</v>
      </c>
      <c r="G917" s="2">
        <f>_xlfn.XLOOKUP(Cat_SKU[[#This Row],[Item]],CAT_MOD_v31[NÚMERO DE ARTÍCULO (SAP)],CAT_MOD_v31[AÑO],"",0)</f>
        <v>2026</v>
      </c>
    </row>
    <row r="918" spans="1:7" x14ac:dyDescent="0.35">
      <c r="A918" t="s">
        <v>155</v>
      </c>
      <c r="B918" s="1">
        <v>5014429559</v>
      </c>
      <c r="C918" t="s">
        <v>187</v>
      </c>
      <c r="D918" t="s">
        <v>361</v>
      </c>
      <c r="E918" s="2" t="str">
        <f>_xlfn.XLOOKUP(Cat_SKU[[#This Row],[Item]],CAT_MOD_v31[NÚMERO DE ARTÍCULO (SAP)],CAT_MOD_v31[RESUMIDO],"",0)</f>
        <v>Pulsar N125 FI-CBS</v>
      </c>
      <c r="F918" s="2" t="str">
        <f>_xlfn.XLOOKUP(Cat_SKU[[#This Row],[Item]],CAT_MOD_v31[NÚMERO DE ARTÍCULO (SAP)],CAT_MOD_v31[COLOR],"",0)</f>
        <v>Citrus</v>
      </c>
      <c r="G918" s="2">
        <f>_xlfn.XLOOKUP(Cat_SKU[[#This Row],[Item]],CAT_MOD_v31[NÚMERO DE ARTÍCULO (SAP)],CAT_MOD_v31[AÑO],"",0)</f>
        <v>2026</v>
      </c>
    </row>
    <row r="919" spans="1:7" x14ac:dyDescent="0.35">
      <c r="A919" t="s">
        <v>155</v>
      </c>
      <c r="B919" s="1">
        <v>5014432223</v>
      </c>
      <c r="C919" t="s">
        <v>186</v>
      </c>
      <c r="D919" t="s">
        <v>288</v>
      </c>
      <c r="E919" s="2" t="str">
        <f>_xlfn.XLOOKUP(Cat_SKU[[#This Row],[Item]],CAT_MOD_v31[NÚMERO DE ARTÍCULO (SAP)],CAT_MOD_v31[RESUMIDO],"",0)</f>
        <v>Pulsar N250</v>
      </c>
      <c r="F919" s="2" t="str">
        <f>_xlfn.XLOOKUP(Cat_SKU[[#This Row],[Item]],CAT_MOD_v31[NÚMERO DE ARTÍCULO (SAP)],CAT_MOD_v31[COLOR],"",0)</f>
        <v>Amarillo</v>
      </c>
      <c r="G919" s="2">
        <f>_xlfn.XLOOKUP(Cat_SKU[[#This Row],[Item]],CAT_MOD_v31[NÚMERO DE ARTÍCULO (SAP)],CAT_MOD_v31[AÑO],"",0)</f>
        <v>2026</v>
      </c>
    </row>
    <row r="920" spans="1:7" x14ac:dyDescent="0.35">
      <c r="A920" t="s">
        <v>155</v>
      </c>
      <c r="B920" s="1" t="s">
        <v>156</v>
      </c>
      <c r="C920" t="s">
        <v>188</v>
      </c>
      <c r="D920" t="s">
        <v>362</v>
      </c>
      <c r="E920" s="2" t="str">
        <f>_xlfn.XLOOKUP(Cat_SKU[[#This Row],[Item]],CAT_MOD_v31[NÚMERO DE ARTÍCULO (SAP)],CAT_MOD_v31[RESUMIDO],"",0)</f>
        <v>Pulsar N160</v>
      </c>
      <c r="F920" s="2" t="str">
        <f>_xlfn.XLOOKUP(Cat_SKU[[#This Row],[Item]],CAT_MOD_v31[NÚMERO DE ARTÍCULO (SAP)],CAT_MOD_v31[COLOR],"",0)</f>
        <v>Negro</v>
      </c>
      <c r="G920" s="2">
        <f>_xlfn.XLOOKUP(Cat_SKU[[#This Row],[Item]],CAT_MOD_v31[NÚMERO DE ARTÍCULO (SAP)],CAT_MOD_v31[AÑO],"",0)</f>
        <v>2024</v>
      </c>
    </row>
    <row r="921" spans="1:7" x14ac:dyDescent="0.35">
      <c r="A921" t="s">
        <v>221</v>
      </c>
      <c r="B921" s="1">
        <v>3026053</v>
      </c>
      <c r="C921" t="s">
        <v>2562</v>
      </c>
      <c r="D921" t="s">
        <v>2527</v>
      </c>
      <c r="E921" s="2" t="str">
        <f>_xlfn.XLOOKUP(Cat_SKU[[#This Row],[Item]],CAT_MOD_v31[NÚMERO DE ARTÍCULO (SAP)],CAT_MOD_v31[RESUMIDO],"",0)</f>
        <v>Pulsar NS200</v>
      </c>
      <c r="F921" s="2" t="str">
        <f>_xlfn.XLOOKUP(Cat_SKU[[#This Row],[Item]],CAT_MOD_v31[NÚMERO DE ARTÍCULO (SAP)],CAT_MOD_v31[COLOR],"",0)</f>
        <v>Negro</v>
      </c>
      <c r="G921" s="2">
        <f>_xlfn.XLOOKUP(Cat_SKU[[#This Row],[Item]],CAT_MOD_v31[NÚMERO DE ARTÍCULO (SAP)],CAT_MOD_v31[AÑO],"",0)</f>
        <v>2026</v>
      </c>
    </row>
    <row r="922" spans="1:7" x14ac:dyDescent="0.35">
      <c r="A922" t="s">
        <v>221</v>
      </c>
      <c r="B922" s="1">
        <v>3029395</v>
      </c>
      <c r="C922" t="s">
        <v>2563</v>
      </c>
      <c r="D922" t="s">
        <v>285</v>
      </c>
      <c r="E922" s="2" t="str">
        <f>_xlfn.XLOOKUP(Cat_SKU[[#This Row],[Item]],CAT_MOD_v31[NÚMERO DE ARTÍCULO (SAP)],CAT_MOD_v31[RESUMIDO],"",0)</f>
        <v>Pulsar NS200 UG</v>
      </c>
      <c r="F922" s="2" t="str">
        <f>_xlfn.XLOOKUP(Cat_SKU[[#This Row],[Item]],CAT_MOD_v31[NÚMERO DE ARTÍCULO (SAP)],CAT_MOD_v31[COLOR],"",0)</f>
        <v>Negro</v>
      </c>
      <c r="G922" s="2">
        <f>_xlfn.XLOOKUP(Cat_SKU[[#This Row],[Item]],CAT_MOD_v31[NÚMERO DE ARTÍCULO (SAP)],CAT_MOD_v31[AÑO],"",0)</f>
        <v>2025</v>
      </c>
    </row>
    <row r="923" spans="1:7" x14ac:dyDescent="0.35">
      <c r="A923" t="s">
        <v>221</v>
      </c>
      <c r="B923" s="1">
        <v>3026048</v>
      </c>
      <c r="C923" t="s">
        <v>2564</v>
      </c>
      <c r="D923" t="s">
        <v>2419</v>
      </c>
      <c r="E923" s="2" t="str">
        <f>_xlfn.XLOOKUP(Cat_SKU[[#This Row],[Item]],CAT_MOD_v31[NÚMERO DE ARTÍCULO (SAP)],CAT_MOD_v31[RESUMIDO],"",0)</f>
        <v>Pulsar N160 FI ABS PREMIUM</v>
      </c>
      <c r="F923" s="2" t="str">
        <f>_xlfn.XLOOKUP(Cat_SKU[[#This Row],[Item]],CAT_MOD_v31[NÚMERO DE ARTÍCULO (SAP)],CAT_MOD_v31[COLOR],"",0)</f>
        <v>Negro</v>
      </c>
      <c r="G923" s="2">
        <f>_xlfn.XLOOKUP(Cat_SKU[[#This Row],[Item]],CAT_MOD_v31[NÚMERO DE ARTÍCULO (SAP)],CAT_MOD_v31[AÑO],"",0)</f>
        <v>2026</v>
      </c>
    </row>
    <row r="924" spans="1:7" x14ac:dyDescent="0.35">
      <c r="A924" t="s">
        <v>587</v>
      </c>
      <c r="B924" t="s">
        <v>2565</v>
      </c>
      <c r="C924" t="s">
        <v>2565</v>
      </c>
      <c r="D924" t="s">
        <v>262</v>
      </c>
      <c r="E924" s="2" t="str">
        <f>_xlfn.XLOOKUP(Cat_SKU[[#This Row],[Item]],CAT_MOD_v31[NÚMERO DE ARTÍCULO (SAP)],CAT_MOD_v31[RESUMIDO],"",0)</f>
        <v>Pulsar N125 FI-CBS</v>
      </c>
      <c r="F924" s="2" t="str">
        <f>_xlfn.XLOOKUP(Cat_SKU[[#This Row],[Item]],CAT_MOD_v31[NÚMERO DE ARTÍCULO (SAP)],CAT_MOD_v31[COLOR],"",0)</f>
        <v>Purpura</v>
      </c>
      <c r="G924" s="2">
        <f>_xlfn.XLOOKUP(Cat_SKU[[#This Row],[Item]],CAT_MOD_v31[NÚMERO DE ARTÍCULO (SAP)],CAT_MOD_v31[AÑO],"",0)</f>
        <v>2026</v>
      </c>
    </row>
    <row r="925" spans="1:7" x14ac:dyDescent="0.35">
      <c r="A925" t="s">
        <v>587</v>
      </c>
      <c r="B925" t="s">
        <v>2566</v>
      </c>
      <c r="C925" t="s">
        <v>2566</v>
      </c>
      <c r="D925" t="s">
        <v>282</v>
      </c>
      <c r="E925" s="2" t="str">
        <f>_xlfn.XLOOKUP(Cat_SKU[[#This Row],[Item]],CAT_MOD_v31[NÚMERO DE ARTÍCULO (SAP)],CAT_MOD_v31[RESUMIDO],"",0)</f>
        <v>Pulsar NS160 UG</v>
      </c>
      <c r="F925" s="2" t="str">
        <f>_xlfn.XLOOKUP(Cat_SKU[[#This Row],[Item]],CAT_MOD_v31[NÚMERO DE ARTÍCULO (SAP)],CAT_MOD_v31[COLOR],"",0)</f>
        <v>Gris</v>
      </c>
      <c r="G925" s="2">
        <f>_xlfn.XLOOKUP(Cat_SKU[[#This Row],[Item]],CAT_MOD_v31[NÚMERO DE ARTÍCULO (SAP)],CAT_MOD_v31[AÑO],"",0)</f>
        <v>2025</v>
      </c>
    </row>
    <row r="926" spans="1:7" x14ac:dyDescent="0.35">
      <c r="A926" t="s">
        <v>103</v>
      </c>
      <c r="B926">
        <v>1117408279</v>
      </c>
      <c r="C926" t="s">
        <v>2567</v>
      </c>
      <c r="D926" t="s">
        <v>396</v>
      </c>
      <c r="E926" s="2" t="str">
        <f>_xlfn.XLOOKUP(Cat_SKU[[#This Row],[Item]],CAT_MOD_v31[NÚMERO DE ARTÍCULO (SAP)],CAT_MOD_v31[RESUMIDO],"",0)</f>
        <v>Pulsar NS200</v>
      </c>
      <c r="F926" s="2" t="str">
        <f>_xlfn.XLOOKUP(Cat_SKU[[#This Row],[Item]],CAT_MOD_v31[NÚMERO DE ARTÍCULO (SAP)],CAT_MOD_v31[COLOR],"",0)</f>
        <v>Gris</v>
      </c>
      <c r="G926" s="2">
        <f>_xlfn.XLOOKUP(Cat_SKU[[#This Row],[Item]],CAT_MOD_v31[NÚMERO DE ARTÍCULO (SAP)],CAT_MOD_v31[AÑO],"",0)</f>
        <v>2022</v>
      </c>
    </row>
    <row r="927" spans="1:7" x14ac:dyDescent="0.35">
      <c r="A927" t="s">
        <v>587</v>
      </c>
      <c r="B927" t="s">
        <v>2568</v>
      </c>
      <c r="C927" t="s">
        <v>2568</v>
      </c>
      <c r="D927" t="s">
        <v>309</v>
      </c>
      <c r="E927" s="2" t="str">
        <f>_xlfn.XLOOKUP(Cat_SKU[[#This Row],[Item]],CAT_MOD_v31[NÚMERO DE ARTÍCULO (SAP)],CAT_MOD_v31[RESUMIDO],"",0)</f>
        <v>Dominar 400</v>
      </c>
      <c r="F927" s="2" t="str">
        <f>_xlfn.XLOOKUP(Cat_SKU[[#This Row],[Item]],CAT_MOD_v31[NÚMERO DE ARTÍCULO (SAP)],CAT_MOD_v31[COLOR],"",0)</f>
        <v>Verde</v>
      </c>
      <c r="G927" s="2">
        <f>_xlfn.XLOOKUP(Cat_SKU[[#This Row],[Item]],CAT_MOD_v31[NÚMERO DE ARTÍCULO (SAP)],CAT_MOD_v31[AÑO],"",0)</f>
        <v>2026</v>
      </c>
    </row>
    <row r="928" spans="1:7" x14ac:dyDescent="0.35">
      <c r="A928" t="s">
        <v>221</v>
      </c>
      <c r="B928" s="3">
        <v>3026048</v>
      </c>
      <c r="C928" t="s">
        <v>2569</v>
      </c>
      <c r="D928" t="s">
        <v>2419</v>
      </c>
      <c r="E928" s="2" t="str">
        <f>_xlfn.XLOOKUP(Cat_SKU[[#This Row],[Item]],CAT_MOD_v31[NÚMERO DE ARTÍCULO (SAP)],CAT_MOD_v31[RESUMIDO],"",0)</f>
        <v>Pulsar N160 FI ABS PREMIUM</v>
      </c>
      <c r="F928" s="2" t="str">
        <f>_xlfn.XLOOKUP(Cat_SKU[[#This Row],[Item]],CAT_MOD_v31[NÚMERO DE ARTÍCULO (SAP)],CAT_MOD_v31[COLOR],"",0)</f>
        <v>Negro</v>
      </c>
      <c r="G928" s="2">
        <f>_xlfn.XLOOKUP(Cat_SKU[[#This Row],[Item]],CAT_MOD_v31[NÚMERO DE ARTÍCULO (SAP)],CAT_MOD_v31[AÑO],"",0)</f>
        <v>2026</v>
      </c>
    </row>
    <row r="929" spans="1:7" x14ac:dyDescent="0.35">
      <c r="A929" t="s">
        <v>221</v>
      </c>
      <c r="B929" s="3">
        <v>3026083</v>
      </c>
      <c r="C929" t="s">
        <v>2570</v>
      </c>
      <c r="D929" t="s">
        <v>360</v>
      </c>
      <c r="E929" s="2" t="str">
        <f>_xlfn.XLOOKUP(Cat_SKU[[#This Row],[Item]],CAT_MOD_v31[NÚMERO DE ARTÍCULO (SAP)],CAT_MOD_v31[RESUMIDO],"",0)</f>
        <v>Pulsar N250 FI ABS</v>
      </c>
      <c r="F929" s="2" t="str">
        <f>_xlfn.XLOOKUP(Cat_SKU[[#This Row],[Item]],CAT_MOD_v31[NÚMERO DE ARTÍCULO (SAP)],CAT_MOD_v31[COLOR],"",0)</f>
        <v>Rojo</v>
      </c>
      <c r="G929" s="2">
        <f>_xlfn.XLOOKUP(Cat_SKU[[#This Row],[Item]],CAT_MOD_v31[NÚMERO DE ARTÍCULO (SAP)],CAT_MOD_v31[AÑO],"",0)</f>
        <v>2026</v>
      </c>
    </row>
    <row r="930" spans="1:7" x14ac:dyDescent="0.35">
      <c r="A930" t="s">
        <v>451</v>
      </c>
      <c r="B930" s="1" t="s">
        <v>2571</v>
      </c>
      <c r="C930" t="s">
        <v>2576</v>
      </c>
      <c r="D930" t="s">
        <v>890</v>
      </c>
      <c r="E930" s="2" t="str">
        <f>_xlfn.XLOOKUP(Cat_SKU[[#This Row],[Item]],CAT_MOD_v31[NÚMERO DE ARTÍCULO (SAP)],CAT_MOD_v31[RESUMIDO],"",0)</f>
        <v/>
      </c>
      <c r="F930" s="2" t="str">
        <f>_xlfn.XLOOKUP(Cat_SKU[[#This Row],[Item]],CAT_MOD_v31[NÚMERO DE ARTÍCULO (SAP)],CAT_MOD_v31[COLOR],"",0)</f>
        <v/>
      </c>
      <c r="G930" s="2" t="str">
        <f>_xlfn.XLOOKUP(Cat_SKU[[#This Row],[Item]],CAT_MOD_v31[NÚMERO DE ARTÍCULO (SAP)],CAT_MOD_v31[AÑO],"",0)</f>
        <v/>
      </c>
    </row>
    <row r="931" spans="1:7" x14ac:dyDescent="0.35">
      <c r="A931" t="s">
        <v>451</v>
      </c>
      <c r="B931" s="1" t="s">
        <v>2572</v>
      </c>
      <c r="C931" t="s">
        <v>2577</v>
      </c>
      <c r="D931" t="s">
        <v>2419</v>
      </c>
      <c r="E931" s="2" t="str">
        <f>_xlfn.XLOOKUP(Cat_SKU[[#This Row],[Item]],CAT_MOD_v31[NÚMERO DE ARTÍCULO (SAP)],CAT_MOD_v31[RESUMIDO],"",0)</f>
        <v>Pulsar N160 FI ABS PREMIUM</v>
      </c>
      <c r="F931" s="2" t="str">
        <f>_xlfn.XLOOKUP(Cat_SKU[[#This Row],[Item]],CAT_MOD_v31[NÚMERO DE ARTÍCULO (SAP)],CAT_MOD_v31[COLOR],"",0)</f>
        <v>Negro</v>
      </c>
      <c r="G931" s="2">
        <f>_xlfn.XLOOKUP(Cat_SKU[[#This Row],[Item]],CAT_MOD_v31[NÚMERO DE ARTÍCULO (SAP)],CAT_MOD_v31[AÑO],"",0)</f>
        <v>2026</v>
      </c>
    </row>
    <row r="932" spans="1:7" x14ac:dyDescent="0.35">
      <c r="A932" t="s">
        <v>451</v>
      </c>
      <c r="B932" s="1" t="s">
        <v>2573</v>
      </c>
      <c r="C932" t="s">
        <v>2578</v>
      </c>
      <c r="D932" t="s">
        <v>747</v>
      </c>
      <c r="E932" s="2" t="str">
        <f>_xlfn.XLOOKUP(Cat_SKU[[#This Row],[Item]],CAT_MOD_v31[NÚMERO DE ARTÍCULO (SAP)],CAT_MOD_v31[RESUMIDO],"",0)</f>
        <v>Pulsar NS160</v>
      </c>
      <c r="F932" s="2" t="str">
        <f>_xlfn.XLOOKUP(Cat_SKU[[#This Row],[Item]],CAT_MOD_v31[NÚMERO DE ARTÍCULO (SAP)],CAT_MOD_v31[COLOR],"",0)</f>
        <v>Perla</v>
      </c>
      <c r="G932" s="2">
        <f>_xlfn.XLOOKUP(Cat_SKU[[#This Row],[Item]],CAT_MOD_v31[NÚMERO DE ARTÍCULO (SAP)],CAT_MOD_v31[AÑO],"",0)</f>
        <v>2026</v>
      </c>
    </row>
    <row r="933" spans="1:7" x14ac:dyDescent="0.35">
      <c r="A933" t="s">
        <v>2574</v>
      </c>
      <c r="B933" s="1" t="s">
        <v>2575</v>
      </c>
      <c r="C933" s="1" t="s">
        <v>2575</v>
      </c>
      <c r="D933" t="s">
        <v>256</v>
      </c>
      <c r="E933" s="2" t="str">
        <f>_xlfn.XLOOKUP(Cat_SKU[[#This Row],[Item]],CAT_MOD_v31[NÚMERO DE ARTÍCULO (SAP)],CAT_MOD_v31[RESUMIDO],"",0)</f>
        <v>Boxer BM150</v>
      </c>
      <c r="F933" s="2" t="str">
        <f>_xlfn.XLOOKUP(Cat_SKU[[#This Row],[Item]],CAT_MOD_v31[NÚMERO DE ARTÍCULO (SAP)],CAT_MOD_v31[COLOR],"",0)</f>
        <v>Blanco</v>
      </c>
      <c r="G933" s="2">
        <f>_xlfn.XLOOKUP(Cat_SKU[[#This Row],[Item]],CAT_MOD_v31[NÚMERO DE ARTÍCULO (SAP)],CAT_MOD_v31[AÑO],"",0)</f>
        <v>2025</v>
      </c>
    </row>
    <row r="934" spans="1:7" x14ac:dyDescent="0.35">
      <c r="A934" t="s">
        <v>189</v>
      </c>
      <c r="B934" s="1" t="s">
        <v>191</v>
      </c>
      <c r="C934" t="s">
        <v>2579</v>
      </c>
      <c r="D934" t="s">
        <v>2543</v>
      </c>
      <c r="E934" s="2" t="str">
        <f>_xlfn.XLOOKUP(Cat_SKU[[#This Row],[Item]],CAT_MOD_v31[NÚMERO DE ARTÍCULO (SAP)],CAT_MOD_v31[RESUMIDO],"",0)</f>
        <v>Pulsar NS160</v>
      </c>
      <c r="F934" s="2" t="str">
        <f>_xlfn.XLOOKUP(Cat_SKU[[#This Row],[Item]],CAT_MOD_v31[NÚMERO DE ARTÍCULO (SAP)],CAT_MOD_v31[COLOR],"",0)</f>
        <v>Negro</v>
      </c>
      <c r="G934" s="2">
        <f>_xlfn.XLOOKUP(Cat_SKU[[#This Row],[Item]],CAT_MOD_v31[NÚMERO DE ARTÍCULO (SAP)],CAT_MOD_v31[AÑO],"",0)</f>
        <v>2026</v>
      </c>
    </row>
    <row r="935" spans="1:7" x14ac:dyDescent="0.35">
      <c r="A935" t="s">
        <v>221</v>
      </c>
      <c r="B935" s="3">
        <v>3026083</v>
      </c>
      <c r="C935" t="s">
        <v>2570</v>
      </c>
      <c r="D935" t="s">
        <v>360</v>
      </c>
      <c r="E935" s="2" t="str">
        <f>_xlfn.XLOOKUP(Cat_SKU[[#This Row],[Item]],CAT_MOD_v31[NÚMERO DE ARTÍCULO (SAP)],CAT_MOD_v31[RESUMIDO],"",0)</f>
        <v>Pulsar N250 FI ABS</v>
      </c>
      <c r="F935" s="2" t="str">
        <f>_xlfn.XLOOKUP(Cat_SKU[[#This Row],[Item]],CAT_MOD_v31[NÚMERO DE ARTÍCULO (SAP)],CAT_MOD_v31[COLOR],"",0)</f>
        <v>Rojo</v>
      </c>
      <c r="G935" s="2">
        <f>_xlfn.XLOOKUP(Cat_SKU[[#This Row],[Item]],CAT_MOD_v31[NÚMERO DE ARTÍCULO (SAP)],CAT_MOD_v31[AÑO],"",0)</f>
        <v>2026</v>
      </c>
    </row>
    <row r="936" spans="1:7" x14ac:dyDescent="0.35">
      <c r="A936" t="s">
        <v>221</v>
      </c>
      <c r="B936" s="3">
        <v>3026048</v>
      </c>
      <c r="C936" t="s">
        <v>2569</v>
      </c>
      <c r="D936" t="s">
        <v>2419</v>
      </c>
      <c r="E936" s="2" t="str">
        <f>_xlfn.XLOOKUP(Cat_SKU[[#This Row],[Item]],CAT_MOD_v31[NÚMERO DE ARTÍCULO (SAP)],CAT_MOD_v31[RESUMIDO],"",0)</f>
        <v>Pulsar N160 FI ABS PREMIUM</v>
      </c>
      <c r="F936" s="2" t="str">
        <f>_xlfn.XLOOKUP(Cat_SKU[[#This Row],[Item]],CAT_MOD_v31[NÚMERO DE ARTÍCULO (SAP)],CAT_MOD_v31[COLOR],"",0)</f>
        <v>Negro</v>
      </c>
      <c r="G936" s="2">
        <f>_xlfn.XLOOKUP(Cat_SKU[[#This Row],[Item]],CAT_MOD_v31[NÚMERO DE ARTÍCULO (SAP)],CAT_MOD_v31[AÑO],"",0)</f>
        <v>2026</v>
      </c>
    </row>
    <row r="937" spans="1:7" x14ac:dyDescent="0.35">
      <c r="A937" t="s">
        <v>451</v>
      </c>
      <c r="B937" s="1" t="s">
        <v>2580</v>
      </c>
      <c r="C937" t="s">
        <v>2584</v>
      </c>
      <c r="D937" t="s">
        <v>306</v>
      </c>
      <c r="E937" s="2" t="str">
        <f>_xlfn.XLOOKUP(Cat_SKU[[#This Row],[Item]],CAT_MOD_v31[NÚMERO DE ARTÍCULO (SAP)],CAT_MOD_v31[RESUMIDO],"",0)</f>
        <v>Pulsar NS200 UG</v>
      </c>
      <c r="F937" s="2" t="str">
        <f>_xlfn.XLOOKUP(Cat_SKU[[#This Row],[Item]],CAT_MOD_v31[NÚMERO DE ARTÍCULO (SAP)],CAT_MOD_v31[COLOR],"",0)</f>
        <v>Gris</v>
      </c>
      <c r="G937" s="2">
        <f>_xlfn.XLOOKUP(Cat_SKU[[#This Row],[Item]],CAT_MOD_v31[NÚMERO DE ARTÍCULO (SAP)],CAT_MOD_v31[AÑO],"",0)</f>
        <v>2026</v>
      </c>
    </row>
    <row r="938" spans="1:7" x14ac:dyDescent="0.35">
      <c r="A938" t="s">
        <v>451</v>
      </c>
      <c r="B938" s="1" t="s">
        <v>2581</v>
      </c>
      <c r="C938" t="s">
        <v>2585</v>
      </c>
      <c r="D938" t="s">
        <v>2543</v>
      </c>
      <c r="E938" s="2" t="str">
        <f>_xlfn.XLOOKUP(Cat_SKU[[#This Row],[Item]],CAT_MOD_v31[NÚMERO DE ARTÍCULO (SAP)],CAT_MOD_v31[RESUMIDO],"",0)</f>
        <v>Pulsar NS160</v>
      </c>
      <c r="F938" s="2" t="str">
        <f>_xlfn.XLOOKUP(Cat_SKU[[#This Row],[Item]],CAT_MOD_v31[NÚMERO DE ARTÍCULO (SAP)],CAT_MOD_v31[COLOR],"",0)</f>
        <v>Negro</v>
      </c>
      <c r="G938" s="2">
        <f>_xlfn.XLOOKUP(Cat_SKU[[#This Row],[Item]],CAT_MOD_v31[NÚMERO DE ARTÍCULO (SAP)],CAT_MOD_v31[AÑO],"",0)</f>
        <v>2026</v>
      </c>
    </row>
    <row r="939" spans="1:7" x14ac:dyDescent="0.35">
      <c r="A939" t="s">
        <v>451</v>
      </c>
      <c r="B939" s="1" t="s">
        <v>2582</v>
      </c>
      <c r="C939" t="s">
        <v>2586</v>
      </c>
      <c r="D939" t="s">
        <v>390</v>
      </c>
      <c r="E939" s="2" t="str">
        <f>_xlfn.XLOOKUP(Cat_SKU[[#This Row],[Item]],CAT_MOD_v31[NÚMERO DE ARTÍCULO (SAP)],CAT_MOD_v31[RESUMIDO],"",0)</f>
        <v>Pulsar NS200 UG</v>
      </c>
      <c r="F939" s="2" t="str">
        <f>_xlfn.XLOOKUP(Cat_SKU[[#This Row],[Item]],CAT_MOD_v31[NÚMERO DE ARTÍCULO (SAP)],CAT_MOD_v31[COLOR],"",0)</f>
        <v>Rojo</v>
      </c>
      <c r="G939" s="2">
        <f>_xlfn.XLOOKUP(Cat_SKU[[#This Row],[Item]],CAT_MOD_v31[NÚMERO DE ARTÍCULO (SAP)],CAT_MOD_v31[AÑO],"",0)</f>
        <v>2026</v>
      </c>
    </row>
    <row r="940" spans="1:7" x14ac:dyDescent="0.35">
      <c r="A940" t="s">
        <v>451</v>
      </c>
      <c r="B940" s="1" t="s">
        <v>2583</v>
      </c>
      <c r="C940" t="s">
        <v>2587</v>
      </c>
      <c r="D940" t="s">
        <v>307</v>
      </c>
      <c r="E940" s="2" t="str">
        <f>_xlfn.XLOOKUP(Cat_SKU[[#This Row],[Item]],CAT_MOD_v31[NÚMERO DE ARTÍCULO (SAP)],CAT_MOD_v31[RESUMIDO],"",0)</f>
        <v>Pulsar NS200 UG</v>
      </c>
      <c r="F940" s="2" t="str">
        <f>_xlfn.XLOOKUP(Cat_SKU[[#This Row],[Item]],CAT_MOD_v31[NÚMERO DE ARTÍCULO (SAP)],CAT_MOD_v31[COLOR],"",0)</f>
        <v>Negro</v>
      </c>
      <c r="G940" s="2">
        <f>_xlfn.XLOOKUP(Cat_SKU[[#This Row],[Item]],CAT_MOD_v31[NÚMERO DE ARTÍCULO (SAP)],CAT_MOD_v31[AÑO],"",0)</f>
        <v>2026</v>
      </c>
    </row>
    <row r="941" spans="1:7" x14ac:dyDescent="0.35">
      <c r="A941" t="s">
        <v>451</v>
      </c>
      <c r="B941" s="1" t="s">
        <v>2573</v>
      </c>
      <c r="C941" t="s">
        <v>2578</v>
      </c>
      <c r="D941" t="s">
        <v>747</v>
      </c>
      <c r="E941" s="2" t="str">
        <f>_xlfn.XLOOKUP(Cat_SKU[[#This Row],[Item]],CAT_MOD_v31[NÚMERO DE ARTÍCULO (SAP)],CAT_MOD_v31[RESUMIDO],"",0)</f>
        <v>Pulsar NS160</v>
      </c>
      <c r="F941" s="2" t="str">
        <f>_xlfn.XLOOKUP(Cat_SKU[[#This Row],[Item]],CAT_MOD_v31[NÚMERO DE ARTÍCULO (SAP)],CAT_MOD_v31[COLOR],"",0)</f>
        <v>Perla</v>
      </c>
      <c r="G941" s="2">
        <f>_xlfn.XLOOKUP(Cat_SKU[[#This Row],[Item]],CAT_MOD_v31[NÚMERO DE ARTÍCULO (SAP)],CAT_MOD_v31[AÑO],"",0)</f>
        <v>2026</v>
      </c>
    </row>
    <row r="942" spans="1:7" x14ac:dyDescent="0.35">
      <c r="A942" t="s">
        <v>451</v>
      </c>
      <c r="B942" s="1" t="s">
        <v>2572</v>
      </c>
      <c r="C942" t="s">
        <v>2577</v>
      </c>
      <c r="D942" t="s">
        <v>2419</v>
      </c>
      <c r="E942" s="2" t="str">
        <f>_xlfn.XLOOKUP(Cat_SKU[[#This Row],[Item]],CAT_MOD_v31[NÚMERO DE ARTÍCULO (SAP)],CAT_MOD_v31[RESUMIDO],"",0)</f>
        <v>Pulsar N160 FI ABS PREMIUM</v>
      </c>
      <c r="F942" s="2" t="str">
        <f>_xlfn.XLOOKUP(Cat_SKU[[#This Row],[Item]],CAT_MOD_v31[NÚMERO DE ARTÍCULO (SAP)],CAT_MOD_v31[COLOR],"",0)</f>
        <v>Negro</v>
      </c>
      <c r="G942" s="2">
        <f>_xlfn.XLOOKUP(Cat_SKU[[#This Row],[Item]],CAT_MOD_v31[NÚMERO DE ARTÍCULO (SAP)],CAT_MOD_v31[AÑO],"",0)</f>
        <v>2026</v>
      </c>
    </row>
    <row r="943" spans="1:7" x14ac:dyDescent="0.35">
      <c r="A943" t="s">
        <v>103</v>
      </c>
      <c r="B943" s="3">
        <v>1145593430</v>
      </c>
      <c r="C943" t="s">
        <v>2588</v>
      </c>
      <c r="D943" t="s">
        <v>345</v>
      </c>
      <c r="E943" s="2" t="str">
        <f>_xlfn.XLOOKUP(Cat_SKU[[#This Row],[Item]],CAT_MOD_v31[NÚMERO DE ARTÍCULO (SAP)],CAT_MOD_v31[RESUMIDO],"",0)</f>
        <v>Dominar 250</v>
      </c>
      <c r="F943" s="2" t="str">
        <f>_xlfn.XLOOKUP(Cat_SKU[[#This Row],[Item]],CAT_MOD_v31[NÚMERO DE ARTÍCULO (SAP)],CAT_MOD_v31[COLOR],"",0)</f>
        <v>Negro</v>
      </c>
      <c r="G943" s="2">
        <f>_xlfn.XLOOKUP(Cat_SKU[[#This Row],[Item]],CAT_MOD_v31[NÚMERO DE ARTÍCULO (SAP)],CAT_MOD_v31[AÑO],"",0)</f>
        <v>2024</v>
      </c>
    </row>
    <row r="944" spans="1:7" x14ac:dyDescent="0.35">
      <c r="A944" t="s">
        <v>103</v>
      </c>
      <c r="B944" s="3">
        <v>1193546273</v>
      </c>
      <c r="C944" t="s">
        <v>2589</v>
      </c>
      <c r="D944" t="s">
        <v>2423</v>
      </c>
      <c r="E944" s="2" t="str">
        <f>_xlfn.XLOOKUP(Cat_SKU[[#This Row],[Item]],CAT_MOD_v31[NÚMERO DE ARTÍCULO (SAP)],CAT_MOD_v31[RESUMIDO],"",0)</f>
        <v>Pulsar F250 FI DC</v>
      </c>
      <c r="F944" s="2" t="str">
        <f>_xlfn.XLOOKUP(Cat_SKU[[#This Row],[Item]],CAT_MOD_v31[NÚMERO DE ARTÍCULO (SAP)],CAT_MOD_v31[COLOR],"",0)</f>
        <v>Negro</v>
      </c>
      <c r="G944" s="2">
        <f>_xlfn.XLOOKUP(Cat_SKU[[#This Row],[Item]],CAT_MOD_v31[NÚMERO DE ARTÍCULO (SAP)],CAT_MOD_v31[AÑO],"",0)</f>
        <v>2026</v>
      </c>
    </row>
    <row r="945" spans="1:7" x14ac:dyDescent="0.35">
      <c r="A945" t="s">
        <v>148</v>
      </c>
      <c r="B945" s="3">
        <v>1242102</v>
      </c>
      <c r="C945" s="4" t="s">
        <v>2590</v>
      </c>
      <c r="D945" t="s">
        <v>413</v>
      </c>
      <c r="E945" s="2" t="str">
        <f>_xlfn.XLOOKUP(Cat_SKU[[#This Row],[Item]],CAT_MOD_v31[NÚMERO DE ARTÍCULO (SAP)],CAT_MOD_v31[RESUMIDO],"",0)</f>
        <v>Pulsar LS125</v>
      </c>
      <c r="F945" s="2" t="str">
        <f>_xlfn.XLOOKUP(Cat_SKU[[#This Row],[Item]],CAT_MOD_v31[NÚMERO DE ARTÍCULO (SAP)],CAT_MOD_v31[COLOR],"",0)</f>
        <v>Amarillo</v>
      </c>
      <c r="G945" s="2">
        <f>_xlfn.XLOOKUP(Cat_SKU[[#This Row],[Item]],CAT_MOD_v31[NÚMERO DE ARTÍCULO (SAP)],CAT_MOD_v31[AÑO],"",0)</f>
        <v>2025</v>
      </c>
    </row>
    <row r="946" spans="1:7" x14ac:dyDescent="0.35">
      <c r="A946" t="s">
        <v>148</v>
      </c>
      <c r="B946" s="3">
        <v>1241716</v>
      </c>
      <c r="C946" s="4" t="s">
        <v>2591</v>
      </c>
      <c r="D946" t="s">
        <v>1644</v>
      </c>
      <c r="E946" s="2" t="str">
        <f>_xlfn.XLOOKUP(Cat_SKU[[#This Row],[Item]],CAT_MOD_v31[NÚMERO DE ARTÍCULO (SAP)],CAT_MOD_v31[RESUMIDO],"",0)</f>
        <v>Pulsar LS125</v>
      </c>
      <c r="F946" s="2" t="str">
        <f>_xlfn.XLOOKUP(Cat_SKU[[#This Row],[Item]],CAT_MOD_v31[NÚMERO DE ARTÍCULO (SAP)],CAT_MOD_v31[COLOR],"",0)</f>
        <v>Negro</v>
      </c>
      <c r="G946" s="2">
        <f>_xlfn.XLOOKUP(Cat_SKU[[#This Row],[Item]],CAT_MOD_v31[NÚMERO DE ARTÍCULO (SAP)],CAT_MOD_v31[AÑO],"",0)</f>
        <v>2025</v>
      </c>
    </row>
    <row r="947" spans="1:7" x14ac:dyDescent="0.35">
      <c r="A947" t="s">
        <v>587</v>
      </c>
      <c r="B947" t="s">
        <v>2592</v>
      </c>
      <c r="C947" t="s">
        <v>2592</v>
      </c>
      <c r="D947" t="s">
        <v>2182</v>
      </c>
      <c r="E947" s="2" t="str">
        <f>_xlfn.XLOOKUP(Cat_SKU[[#This Row],[Item]],CAT_MOD_v31[NÚMERO DE ARTÍCULO (SAP)],CAT_MOD_v31[RESUMIDO],"",0)</f>
        <v>Pulsar N250 FI ABS</v>
      </c>
      <c r="F947" s="2" t="str">
        <f>_xlfn.XLOOKUP(Cat_SKU[[#This Row],[Item]],CAT_MOD_v31[NÚMERO DE ARTÍCULO (SAP)],CAT_MOD_v31[COLOR],"",0)</f>
        <v>Perla</v>
      </c>
      <c r="G947" s="2">
        <f>_xlfn.XLOOKUP(Cat_SKU[[#This Row],[Item]],CAT_MOD_v31[NÚMERO DE ARTÍCULO (SAP)],CAT_MOD_v31[AÑO],"",0)</f>
        <v>2025</v>
      </c>
    </row>
    <row r="948" spans="1:7" x14ac:dyDescent="0.35">
      <c r="A948" t="s">
        <v>103</v>
      </c>
      <c r="B948" s="3">
        <v>1193546249</v>
      </c>
      <c r="C948" t="s">
        <v>2593</v>
      </c>
      <c r="D948" t="s">
        <v>2527</v>
      </c>
      <c r="E948" s="2" t="str">
        <f>_xlfn.XLOOKUP(Cat_SKU[[#This Row],[Item]],CAT_MOD_v31[NÚMERO DE ARTÍCULO (SAP)],CAT_MOD_v31[RESUMIDO],"",0)</f>
        <v>Pulsar NS200</v>
      </c>
      <c r="F948" s="2" t="str">
        <f>_xlfn.XLOOKUP(Cat_SKU[[#This Row],[Item]],CAT_MOD_v31[NÚMERO DE ARTÍCULO (SAP)],CAT_MOD_v31[COLOR],"",0)</f>
        <v>Negro</v>
      </c>
      <c r="G948" s="2">
        <f>_xlfn.XLOOKUP(Cat_SKU[[#This Row],[Item]],CAT_MOD_v31[NÚMERO DE ARTÍCULO (SAP)],CAT_MOD_v31[AÑO],"",0)</f>
        <v>2026</v>
      </c>
    </row>
    <row r="949" spans="1:7" x14ac:dyDescent="0.35">
      <c r="A949" t="s">
        <v>103</v>
      </c>
      <c r="B949" s="3">
        <v>1194782043</v>
      </c>
      <c r="C949" t="s">
        <v>2594</v>
      </c>
      <c r="D949" t="s">
        <v>684</v>
      </c>
      <c r="E949" s="2" t="str">
        <f>_xlfn.XLOOKUP(Cat_SKU[[#This Row],[Item]],CAT_MOD_v31[NÚMERO DE ARTÍCULO (SAP)],CAT_MOD_v31[RESUMIDO],"",0)</f>
        <v>Pulsar NS400z</v>
      </c>
      <c r="F949" s="2" t="str">
        <f>_xlfn.XLOOKUP(Cat_SKU[[#This Row],[Item]],CAT_MOD_v31[NÚMERO DE ARTÍCULO (SAP)],CAT_MOD_v31[COLOR],"",0)</f>
        <v>Negro</v>
      </c>
      <c r="G949" s="2">
        <f>_xlfn.XLOOKUP(Cat_SKU[[#This Row],[Item]],CAT_MOD_v31[NÚMERO DE ARTÍCULO (SAP)],CAT_MOD_v31[AÑO],"",0)</f>
        <v>2026</v>
      </c>
    </row>
    <row r="950" spans="1:7" x14ac:dyDescent="0.35">
      <c r="A950" t="s">
        <v>221</v>
      </c>
      <c r="B950" s="3">
        <v>3029395</v>
      </c>
      <c r="C950" t="s">
        <v>2563</v>
      </c>
      <c r="D950" t="s">
        <v>285</v>
      </c>
      <c r="E950" s="2" t="str">
        <f>_xlfn.XLOOKUP(Cat_SKU[[#This Row],[Item]],CAT_MOD_v31[NÚMERO DE ARTÍCULO (SAP)],CAT_MOD_v31[RESUMIDO],"",0)</f>
        <v>Pulsar NS200 UG</v>
      </c>
      <c r="F950" s="2" t="str">
        <f>_xlfn.XLOOKUP(Cat_SKU[[#This Row],[Item]],CAT_MOD_v31[NÚMERO DE ARTÍCULO (SAP)],CAT_MOD_v31[COLOR],"",0)</f>
        <v>Negro</v>
      </c>
      <c r="G950" s="2">
        <f>_xlfn.XLOOKUP(Cat_SKU[[#This Row],[Item]],CAT_MOD_v31[NÚMERO DE ARTÍCULO (SAP)],CAT_MOD_v31[AÑO],"",0)</f>
        <v>2025</v>
      </c>
    </row>
    <row r="951" spans="1:7" x14ac:dyDescent="0.35">
      <c r="A951" t="s">
        <v>221</v>
      </c>
      <c r="B951" s="3">
        <v>3033060</v>
      </c>
      <c r="C951" t="s">
        <v>2595</v>
      </c>
      <c r="D951" t="s">
        <v>413</v>
      </c>
      <c r="E951" s="2" t="str">
        <f>_xlfn.XLOOKUP(Cat_SKU[[#This Row],[Item]],CAT_MOD_v31[NÚMERO DE ARTÍCULO (SAP)],CAT_MOD_v31[RESUMIDO],"",0)</f>
        <v>Pulsar LS125</v>
      </c>
      <c r="F951" s="2" t="str">
        <f>_xlfn.XLOOKUP(Cat_SKU[[#This Row],[Item]],CAT_MOD_v31[NÚMERO DE ARTÍCULO (SAP)],CAT_MOD_v31[COLOR],"",0)</f>
        <v>Amarillo</v>
      </c>
      <c r="G951" s="2">
        <f>_xlfn.XLOOKUP(Cat_SKU[[#This Row],[Item]],CAT_MOD_v31[NÚMERO DE ARTÍCULO (SAP)],CAT_MOD_v31[AÑO],"",0)</f>
        <v>2025</v>
      </c>
    </row>
    <row r="952" spans="1:7" x14ac:dyDescent="0.35">
      <c r="A952" t="s">
        <v>221</v>
      </c>
      <c r="B952" s="3">
        <v>3033061</v>
      </c>
      <c r="C952" t="s">
        <v>2596</v>
      </c>
      <c r="D952" t="s">
        <v>400</v>
      </c>
      <c r="E952" s="2" t="str">
        <f>_xlfn.XLOOKUP(Cat_SKU[[#This Row],[Item]],CAT_MOD_v31[NÚMERO DE ARTÍCULO (SAP)],CAT_MOD_v31[RESUMIDO],"",0)</f>
        <v>Pulsar LS125</v>
      </c>
      <c r="F952" s="2" t="str">
        <f>_xlfn.XLOOKUP(Cat_SKU[[#This Row],[Item]],CAT_MOD_v31[NÚMERO DE ARTÍCULO (SAP)],CAT_MOD_v31[COLOR],"",0)</f>
        <v>Negro</v>
      </c>
      <c r="G952" s="2">
        <f>_xlfn.XLOOKUP(Cat_SKU[[#This Row],[Item]],CAT_MOD_v31[NÚMERO DE ARTÍCULO (SAP)],CAT_MOD_v31[AÑO],"",0)</f>
        <v>2025</v>
      </c>
    </row>
    <row r="953" spans="1:7" x14ac:dyDescent="0.35">
      <c r="A953" t="s">
        <v>221</v>
      </c>
      <c r="B953" s="3">
        <v>3009271</v>
      </c>
      <c r="C953" t="s">
        <v>2597</v>
      </c>
      <c r="D953" t="s">
        <v>313</v>
      </c>
      <c r="E953" s="2" t="str">
        <f>_xlfn.XLOOKUP(Cat_SKU[[#This Row],[Item]],CAT_MOD_v31[NÚMERO DE ARTÍCULO (SAP)],CAT_MOD_v31[RESUMIDO],"",0)</f>
        <v>Pulsar N250</v>
      </c>
      <c r="F953" s="2" t="str">
        <f>_xlfn.XLOOKUP(Cat_SKU[[#This Row],[Item]],CAT_MOD_v31[NÚMERO DE ARTÍCULO (SAP)],CAT_MOD_v31[COLOR],"",0)</f>
        <v>Azul</v>
      </c>
      <c r="G953" s="2">
        <f>_xlfn.XLOOKUP(Cat_SKU[[#This Row],[Item]],CAT_MOD_v31[NÚMERO DE ARTÍCULO (SAP)],CAT_MOD_v31[AÑO],"",0)</f>
        <v>2026</v>
      </c>
    </row>
    <row r="954" spans="1:7" x14ac:dyDescent="0.35">
      <c r="A954" t="s">
        <v>148</v>
      </c>
      <c r="B954" s="3">
        <v>639556</v>
      </c>
      <c r="C954" t="s">
        <v>2598</v>
      </c>
      <c r="D954" t="s">
        <v>382</v>
      </c>
      <c r="E954" s="2" t="str">
        <f>_xlfn.XLOOKUP(Cat_SKU[[#This Row],[Item]],CAT_MOD_v31[NÚMERO DE ARTÍCULO (SAP)],CAT_MOD_v31[RESUMIDO],"",0)</f>
        <v>Pulsar F250 FI DC</v>
      </c>
      <c r="F954" s="2" t="str">
        <f>_xlfn.XLOOKUP(Cat_SKU[[#This Row],[Item]],CAT_MOD_v31[NÚMERO DE ARTÍCULO (SAP)],CAT_MOD_v31[COLOR],"",0)</f>
        <v>Rojo</v>
      </c>
      <c r="G954" s="2">
        <f>_xlfn.XLOOKUP(Cat_SKU[[#This Row],[Item]],CAT_MOD_v31[NÚMERO DE ARTÍCULO (SAP)],CAT_MOD_v31[AÑO],"",0)</f>
        <v>2026</v>
      </c>
    </row>
    <row r="955" spans="1:7" x14ac:dyDescent="0.35">
      <c r="A955" t="s">
        <v>148</v>
      </c>
      <c r="B955" s="3">
        <v>639574</v>
      </c>
      <c r="C955" t="s">
        <v>2599</v>
      </c>
      <c r="D955" t="s">
        <v>361</v>
      </c>
      <c r="E955" s="2" t="str">
        <f>_xlfn.XLOOKUP(Cat_SKU[[#This Row],[Item]],CAT_MOD_v31[NÚMERO DE ARTÍCULO (SAP)],CAT_MOD_v31[RESUMIDO],"",0)</f>
        <v>Pulsar N125 FI-CBS</v>
      </c>
      <c r="F955" s="2" t="str">
        <f>_xlfn.XLOOKUP(Cat_SKU[[#This Row],[Item]],CAT_MOD_v31[NÚMERO DE ARTÍCULO (SAP)],CAT_MOD_v31[COLOR],"",0)</f>
        <v>Citrus</v>
      </c>
      <c r="G955" s="2">
        <f>_xlfn.XLOOKUP(Cat_SKU[[#This Row],[Item]],CAT_MOD_v31[NÚMERO DE ARTÍCULO (SAP)],CAT_MOD_v31[AÑO],"",0)</f>
        <v>2026</v>
      </c>
    </row>
    <row r="956" spans="1:7" x14ac:dyDescent="0.35">
      <c r="A956" t="s">
        <v>148</v>
      </c>
      <c r="B956" s="3">
        <v>990749</v>
      </c>
      <c r="C956" t="s">
        <v>2600</v>
      </c>
      <c r="D956" t="s">
        <v>2423</v>
      </c>
      <c r="E956" s="2" t="str">
        <f>_xlfn.XLOOKUP(Cat_SKU[[#This Row],[Item]],CAT_MOD_v31[NÚMERO DE ARTÍCULO (SAP)],CAT_MOD_v31[RESUMIDO],"",0)</f>
        <v>Pulsar F250 FI DC</v>
      </c>
      <c r="F956" s="2" t="str">
        <f>_xlfn.XLOOKUP(Cat_SKU[[#This Row],[Item]],CAT_MOD_v31[NÚMERO DE ARTÍCULO (SAP)],CAT_MOD_v31[COLOR],"",0)</f>
        <v>Negro</v>
      </c>
      <c r="G956" s="2">
        <f>_xlfn.XLOOKUP(Cat_SKU[[#This Row],[Item]],CAT_MOD_v31[NÚMERO DE ARTÍCULO (SAP)],CAT_MOD_v31[AÑO],"",0)</f>
        <v>2026</v>
      </c>
    </row>
    <row r="957" spans="1:7" x14ac:dyDescent="0.35">
      <c r="A957" t="s">
        <v>148</v>
      </c>
      <c r="B957" s="3">
        <v>1241716</v>
      </c>
      <c r="C957" t="s">
        <v>2601</v>
      </c>
      <c r="D957" t="s">
        <v>400</v>
      </c>
      <c r="E957" s="2" t="str">
        <f>_xlfn.XLOOKUP(Cat_SKU[[#This Row],[Item]],CAT_MOD_v31[NÚMERO DE ARTÍCULO (SAP)],CAT_MOD_v31[RESUMIDO],"",0)</f>
        <v>Pulsar LS125</v>
      </c>
      <c r="F957" s="2" t="str">
        <f>_xlfn.XLOOKUP(Cat_SKU[[#This Row],[Item]],CAT_MOD_v31[NÚMERO DE ARTÍCULO (SAP)],CAT_MOD_v31[COLOR],"",0)</f>
        <v>Negro</v>
      </c>
      <c r="G957" s="2">
        <f>_xlfn.XLOOKUP(Cat_SKU[[#This Row],[Item]],CAT_MOD_v31[NÚMERO DE ARTÍCULO (SAP)],CAT_MOD_v31[AÑO],"",0)</f>
        <v>2025</v>
      </c>
    </row>
    <row r="958" spans="1:7" x14ac:dyDescent="0.35">
      <c r="A958" t="s">
        <v>148</v>
      </c>
      <c r="B958" s="3">
        <v>1242102</v>
      </c>
      <c r="C958" t="s">
        <v>2602</v>
      </c>
      <c r="D958" t="s">
        <v>413</v>
      </c>
      <c r="E958" s="2" t="str">
        <f>_xlfn.XLOOKUP(Cat_SKU[[#This Row],[Item]],CAT_MOD_v31[NÚMERO DE ARTÍCULO (SAP)],CAT_MOD_v31[RESUMIDO],"",0)</f>
        <v>Pulsar LS125</v>
      </c>
      <c r="F958" s="2" t="str">
        <f>_xlfn.XLOOKUP(Cat_SKU[[#This Row],[Item]],CAT_MOD_v31[NÚMERO DE ARTÍCULO (SAP)],CAT_MOD_v31[COLOR],"",0)</f>
        <v>Amarillo</v>
      </c>
      <c r="G958" s="2">
        <f>_xlfn.XLOOKUP(Cat_SKU[[#This Row],[Item]],CAT_MOD_v31[NÚMERO DE ARTÍCULO (SAP)],CAT_MOD_v31[AÑO],"",0)</f>
        <v>2025</v>
      </c>
    </row>
    <row r="959" spans="1:7" x14ac:dyDescent="0.35">
      <c r="A959" t="s">
        <v>2603</v>
      </c>
      <c r="B959" s="1" t="s">
        <v>2605</v>
      </c>
      <c r="C959" t="s">
        <v>2610</v>
      </c>
      <c r="D959" t="s">
        <v>745</v>
      </c>
      <c r="E959" s="2" t="str">
        <f>_xlfn.XLOOKUP(Cat_SKU[[#This Row],[Item]],CAT_MOD_v31[NÚMERO DE ARTÍCULO (SAP)],CAT_MOD_v31[RESUMIDO],"",0)</f>
        <v>Pulsar NS200</v>
      </c>
      <c r="F959" s="2" t="str">
        <f>_xlfn.XLOOKUP(Cat_SKU[[#This Row],[Item]],CAT_MOD_v31[NÚMERO DE ARTÍCULO (SAP)],CAT_MOD_v31[COLOR],"",0)</f>
        <v>Rojo</v>
      </c>
      <c r="G959" s="2">
        <f>_xlfn.XLOOKUP(Cat_SKU[[#This Row],[Item]],CAT_MOD_v31[NÚMERO DE ARTÍCULO (SAP)],CAT_MOD_v31[AÑO],"",0)</f>
        <v>2026</v>
      </c>
    </row>
    <row r="960" spans="1:7" x14ac:dyDescent="0.35">
      <c r="A960" t="s">
        <v>2603</v>
      </c>
      <c r="B960" s="1" t="s">
        <v>2606</v>
      </c>
      <c r="C960" t="s">
        <v>2611</v>
      </c>
      <c r="D960" t="s">
        <v>746</v>
      </c>
      <c r="E960" s="2" t="str">
        <f>_xlfn.XLOOKUP(Cat_SKU[[#This Row],[Item]],CAT_MOD_v31[NÚMERO DE ARTÍCULO (SAP)],CAT_MOD_v31[RESUMIDO],"",0)</f>
        <v>Pulsar NS200</v>
      </c>
      <c r="F960" s="2" t="str">
        <f>_xlfn.XLOOKUP(Cat_SKU[[#This Row],[Item]],CAT_MOD_v31[NÚMERO DE ARTÍCULO (SAP)],CAT_MOD_v31[COLOR],"",0)</f>
        <v>Gris</v>
      </c>
      <c r="G960" s="2">
        <f>_xlfn.XLOOKUP(Cat_SKU[[#This Row],[Item]],CAT_MOD_v31[NÚMERO DE ARTÍCULO (SAP)],CAT_MOD_v31[AÑO],"",0)</f>
        <v>2026</v>
      </c>
    </row>
    <row r="961" spans="1:7" x14ac:dyDescent="0.35">
      <c r="A961" t="s">
        <v>2603</v>
      </c>
      <c r="B961" s="1" t="s">
        <v>2607</v>
      </c>
      <c r="C961" t="s">
        <v>146</v>
      </c>
      <c r="D961" t="s">
        <v>1225</v>
      </c>
      <c r="E961" s="2" t="str">
        <f>_xlfn.XLOOKUP(Cat_SKU[[#This Row],[Item]],CAT_MOD_v31[NÚMERO DE ARTÍCULO (SAP)],CAT_MOD_v31[RESUMIDO],"",0)</f>
        <v>Pulsar NS160</v>
      </c>
      <c r="F961" s="2" t="str">
        <f>_xlfn.XLOOKUP(Cat_SKU[[#This Row],[Item]],CAT_MOD_v31[NÚMERO DE ARTÍCULO (SAP)],CAT_MOD_v31[COLOR],"",0)</f>
        <v>Blanco</v>
      </c>
      <c r="G961" s="2">
        <f>_xlfn.XLOOKUP(Cat_SKU[[#This Row],[Item]],CAT_MOD_v31[NÚMERO DE ARTÍCULO (SAP)],CAT_MOD_v31[AÑO],"",0)</f>
        <v>2019</v>
      </c>
    </row>
    <row r="962" spans="1:7" x14ac:dyDescent="0.35">
      <c r="A962" t="s">
        <v>2603</v>
      </c>
      <c r="B962" s="1" t="s">
        <v>2608</v>
      </c>
      <c r="C962" t="s">
        <v>2612</v>
      </c>
      <c r="D962" t="s">
        <v>387</v>
      </c>
      <c r="E962" s="2" t="str">
        <f>_xlfn.XLOOKUP(Cat_SKU[[#This Row],[Item]],CAT_MOD_v31[NÚMERO DE ARTÍCULO (SAP)],CAT_MOD_v31[RESUMIDO],"",0)</f>
        <v xml:space="preserve">Pulsar NS125 UG </v>
      </c>
      <c r="F962" s="2" t="str">
        <f>_xlfn.XLOOKUP(Cat_SKU[[#This Row],[Item]],CAT_MOD_v31[NÚMERO DE ARTÍCULO (SAP)],CAT_MOD_v31[COLOR],"",0)</f>
        <v>Gris</v>
      </c>
      <c r="G962" s="2">
        <f>_xlfn.XLOOKUP(Cat_SKU[[#This Row],[Item]],CAT_MOD_v31[NÚMERO DE ARTÍCULO (SAP)],CAT_MOD_v31[AÑO],"",0)</f>
        <v>2026</v>
      </c>
    </row>
    <row r="963" spans="1:7" x14ac:dyDescent="0.35">
      <c r="A963" t="s">
        <v>2604</v>
      </c>
      <c r="B963" s="1" t="s">
        <v>2609</v>
      </c>
      <c r="C963" t="s">
        <v>2613</v>
      </c>
      <c r="D963" t="s">
        <v>382</v>
      </c>
      <c r="E963" s="2" t="str">
        <f>_xlfn.XLOOKUP(Cat_SKU[[#This Row],[Item]],CAT_MOD_v31[NÚMERO DE ARTÍCULO (SAP)],CAT_MOD_v31[RESUMIDO],"",0)</f>
        <v>Pulsar F250 FI DC</v>
      </c>
      <c r="F963" s="2" t="str">
        <f>_xlfn.XLOOKUP(Cat_SKU[[#This Row],[Item]],CAT_MOD_v31[NÚMERO DE ARTÍCULO (SAP)],CAT_MOD_v31[COLOR],"",0)</f>
        <v>Rojo</v>
      </c>
      <c r="G963" s="2">
        <f>_xlfn.XLOOKUP(Cat_SKU[[#This Row],[Item]],CAT_MOD_v31[NÚMERO DE ARTÍCULO (SAP)],CAT_MOD_v31[AÑO],"",0)</f>
        <v>2026</v>
      </c>
    </row>
    <row r="964" spans="1:7" x14ac:dyDescent="0.35">
      <c r="B964"/>
    </row>
    <row r="965" spans="1:7" x14ac:dyDescent="0.35">
      <c r="B965"/>
    </row>
    <row r="966" spans="1:7" x14ac:dyDescent="0.35">
      <c r="B966"/>
    </row>
    <row r="967" spans="1:7" x14ac:dyDescent="0.35">
      <c r="B967"/>
    </row>
    <row r="968" spans="1:7" x14ac:dyDescent="0.35">
      <c r="B968"/>
    </row>
    <row r="969" spans="1:7" x14ac:dyDescent="0.35">
      <c r="B969"/>
    </row>
    <row r="970" spans="1:7" x14ac:dyDescent="0.35">
      <c r="B970"/>
    </row>
    <row r="971" spans="1:7" x14ac:dyDescent="0.35">
      <c r="B971"/>
    </row>
    <row r="972" spans="1:7" x14ac:dyDescent="0.35">
      <c r="B972"/>
    </row>
    <row r="973" spans="1:7" x14ac:dyDescent="0.35">
      <c r="B973"/>
    </row>
    <row r="974" spans="1:7" x14ac:dyDescent="0.35">
      <c r="B974"/>
    </row>
    <row r="975" spans="1:7" x14ac:dyDescent="0.35">
      <c r="B975"/>
    </row>
    <row r="976" spans="1:7" x14ac:dyDescent="0.35">
      <c r="B976"/>
    </row>
    <row r="977" spans="2:2" x14ac:dyDescent="0.35">
      <c r="B977"/>
    </row>
    <row r="978" spans="2:2" x14ac:dyDescent="0.35">
      <c r="B978"/>
    </row>
    <row r="979" spans="2:2" x14ac:dyDescent="0.35">
      <c r="B979"/>
    </row>
    <row r="980" spans="2:2" x14ac:dyDescent="0.35">
      <c r="B980"/>
    </row>
    <row r="981" spans="2:2" x14ac:dyDescent="0.35">
      <c r="B981"/>
    </row>
    <row r="982" spans="2:2" x14ac:dyDescent="0.35">
      <c r="B982"/>
    </row>
    <row r="983" spans="2:2" x14ac:dyDescent="0.35">
      <c r="B983"/>
    </row>
    <row r="984" spans="2:2" x14ac:dyDescent="0.35">
      <c r="B984"/>
    </row>
    <row r="985" spans="2:2" x14ac:dyDescent="0.35">
      <c r="B985"/>
    </row>
    <row r="986" spans="2:2" x14ac:dyDescent="0.35">
      <c r="B986"/>
    </row>
    <row r="987" spans="2:2" x14ac:dyDescent="0.35">
      <c r="B987"/>
    </row>
    <row r="988" spans="2:2" x14ac:dyDescent="0.35">
      <c r="B988"/>
    </row>
    <row r="989" spans="2:2" x14ac:dyDescent="0.35">
      <c r="B989"/>
    </row>
    <row r="990" spans="2:2" x14ac:dyDescent="0.35">
      <c r="B990"/>
    </row>
    <row r="991" spans="2:2" x14ac:dyDescent="0.35">
      <c r="B991"/>
    </row>
    <row r="992" spans="2:2" x14ac:dyDescent="0.35">
      <c r="B992"/>
    </row>
    <row r="993" spans="2:2" x14ac:dyDescent="0.35">
      <c r="B993"/>
    </row>
    <row r="994" spans="2:2" x14ac:dyDescent="0.35">
      <c r="B994"/>
    </row>
    <row r="995" spans="2:2" x14ac:dyDescent="0.35">
      <c r="B995"/>
    </row>
    <row r="996" spans="2:2" x14ac:dyDescent="0.35">
      <c r="B996"/>
    </row>
    <row r="997" spans="2:2" x14ac:dyDescent="0.35">
      <c r="B997"/>
    </row>
    <row r="998" spans="2:2" x14ac:dyDescent="0.35">
      <c r="B998"/>
    </row>
    <row r="999" spans="2:2" x14ac:dyDescent="0.35">
      <c r="B999"/>
    </row>
    <row r="1000" spans="2:2" x14ac:dyDescent="0.35">
      <c r="B1000"/>
    </row>
    <row r="1001" spans="2:2" x14ac:dyDescent="0.35">
      <c r="B1001"/>
    </row>
    <row r="1002" spans="2:2" x14ac:dyDescent="0.35">
      <c r="B1002"/>
    </row>
    <row r="1003" spans="2:2" x14ac:dyDescent="0.35">
      <c r="B1003"/>
    </row>
    <row r="1004" spans="2:2" x14ac:dyDescent="0.35">
      <c r="B1004"/>
    </row>
    <row r="1005" spans="2:2" x14ac:dyDescent="0.35">
      <c r="B1005"/>
    </row>
    <row r="1006" spans="2:2" x14ac:dyDescent="0.35">
      <c r="B1006"/>
    </row>
    <row r="1007" spans="2:2" x14ac:dyDescent="0.35">
      <c r="B1007"/>
    </row>
    <row r="1008" spans="2:2" x14ac:dyDescent="0.35">
      <c r="B1008"/>
    </row>
    <row r="1009" spans="2:2" x14ac:dyDescent="0.35">
      <c r="B1009"/>
    </row>
    <row r="1010" spans="2:2" x14ac:dyDescent="0.35">
      <c r="B1010"/>
    </row>
    <row r="1011" spans="2:2" x14ac:dyDescent="0.35">
      <c r="B1011"/>
    </row>
    <row r="1012" spans="2:2" x14ac:dyDescent="0.35">
      <c r="B1012"/>
    </row>
    <row r="1013" spans="2:2" x14ac:dyDescent="0.35">
      <c r="B1013"/>
    </row>
    <row r="1014" spans="2:2" x14ac:dyDescent="0.35">
      <c r="B1014"/>
    </row>
    <row r="1015" spans="2:2" x14ac:dyDescent="0.35">
      <c r="B1015"/>
    </row>
    <row r="1016" spans="2:2" x14ac:dyDescent="0.35">
      <c r="B1016"/>
    </row>
    <row r="1017" spans="2:2" x14ac:dyDescent="0.35">
      <c r="B1017"/>
    </row>
    <row r="1018" spans="2:2" x14ac:dyDescent="0.35">
      <c r="B1018"/>
    </row>
    <row r="1019" spans="2:2" x14ac:dyDescent="0.35">
      <c r="B1019"/>
    </row>
    <row r="1020" spans="2:2" x14ac:dyDescent="0.35">
      <c r="B1020"/>
    </row>
    <row r="1021" spans="2:2" x14ac:dyDescent="0.35">
      <c r="B1021"/>
    </row>
    <row r="1022" spans="2:2" x14ac:dyDescent="0.35">
      <c r="B1022"/>
    </row>
    <row r="1023" spans="2:2" x14ac:dyDescent="0.35">
      <c r="B1023"/>
    </row>
    <row r="1024" spans="2:2" x14ac:dyDescent="0.35">
      <c r="B1024"/>
    </row>
    <row r="1025" spans="2:2" x14ac:dyDescent="0.35">
      <c r="B1025"/>
    </row>
    <row r="1026" spans="2:2" x14ac:dyDescent="0.35">
      <c r="B1026"/>
    </row>
    <row r="1027" spans="2:2" x14ac:dyDescent="0.35">
      <c r="B1027"/>
    </row>
    <row r="1028" spans="2:2" x14ac:dyDescent="0.35">
      <c r="B1028"/>
    </row>
    <row r="1029" spans="2:2" x14ac:dyDescent="0.35">
      <c r="B1029"/>
    </row>
    <row r="1030" spans="2:2" x14ac:dyDescent="0.35">
      <c r="B1030"/>
    </row>
    <row r="1031" spans="2:2" x14ac:dyDescent="0.35">
      <c r="B1031"/>
    </row>
    <row r="1032" spans="2:2" x14ac:dyDescent="0.35">
      <c r="B1032"/>
    </row>
    <row r="1033" spans="2:2" x14ac:dyDescent="0.35">
      <c r="B1033"/>
    </row>
    <row r="1034" spans="2:2" x14ac:dyDescent="0.35">
      <c r="B1034"/>
    </row>
    <row r="1035" spans="2:2" x14ac:dyDescent="0.35">
      <c r="B1035"/>
    </row>
    <row r="1036" spans="2:2" x14ac:dyDescent="0.35">
      <c r="B1036"/>
    </row>
    <row r="1037" spans="2:2" x14ac:dyDescent="0.35">
      <c r="B1037"/>
    </row>
    <row r="1038" spans="2:2" x14ac:dyDescent="0.35">
      <c r="B1038"/>
    </row>
    <row r="1039" spans="2:2" x14ac:dyDescent="0.35">
      <c r="B1039"/>
    </row>
    <row r="1040" spans="2:2" x14ac:dyDescent="0.35">
      <c r="B1040"/>
    </row>
    <row r="1041" spans="2:2" x14ac:dyDescent="0.35">
      <c r="B1041"/>
    </row>
    <row r="1042" spans="2:2" x14ac:dyDescent="0.35">
      <c r="B1042"/>
    </row>
    <row r="1043" spans="2:2" x14ac:dyDescent="0.35">
      <c r="B1043"/>
    </row>
    <row r="1044" spans="2:2" x14ac:dyDescent="0.35">
      <c r="B1044"/>
    </row>
    <row r="1045" spans="2:2" x14ac:dyDescent="0.35">
      <c r="B1045"/>
    </row>
    <row r="1046" spans="2:2" x14ac:dyDescent="0.35">
      <c r="B1046"/>
    </row>
    <row r="1047" spans="2:2" x14ac:dyDescent="0.35">
      <c r="B1047"/>
    </row>
    <row r="1048" spans="2:2" x14ac:dyDescent="0.35">
      <c r="B1048"/>
    </row>
    <row r="1049" spans="2:2" x14ac:dyDescent="0.35">
      <c r="B1049"/>
    </row>
    <row r="1050" spans="2:2" x14ac:dyDescent="0.35">
      <c r="B1050"/>
    </row>
    <row r="1051" spans="2:2" x14ac:dyDescent="0.35">
      <c r="B1051"/>
    </row>
    <row r="1052" spans="2:2" x14ac:dyDescent="0.35">
      <c r="B1052"/>
    </row>
    <row r="1053" spans="2:2" x14ac:dyDescent="0.35">
      <c r="B1053"/>
    </row>
    <row r="1054" spans="2:2" x14ac:dyDescent="0.35">
      <c r="B1054"/>
    </row>
    <row r="1055" spans="2:2" x14ac:dyDescent="0.35">
      <c r="B1055"/>
    </row>
    <row r="1056" spans="2:2" x14ac:dyDescent="0.35">
      <c r="B1056"/>
    </row>
    <row r="1057" spans="2:2" x14ac:dyDescent="0.35">
      <c r="B1057"/>
    </row>
    <row r="1058" spans="2:2" x14ac:dyDescent="0.35">
      <c r="B1058"/>
    </row>
    <row r="1059" spans="2:2" x14ac:dyDescent="0.35">
      <c r="B1059"/>
    </row>
    <row r="1060" spans="2:2" x14ac:dyDescent="0.35">
      <c r="B1060"/>
    </row>
    <row r="1061" spans="2:2" x14ac:dyDescent="0.35">
      <c r="B1061"/>
    </row>
    <row r="1062" spans="2:2" x14ac:dyDescent="0.35">
      <c r="B1062"/>
    </row>
    <row r="1063" spans="2:2" x14ac:dyDescent="0.35">
      <c r="B1063"/>
    </row>
    <row r="1064" spans="2:2" x14ac:dyDescent="0.35">
      <c r="B1064"/>
    </row>
    <row r="1065" spans="2:2" x14ac:dyDescent="0.35">
      <c r="B1065"/>
    </row>
    <row r="1066" spans="2:2" x14ac:dyDescent="0.35">
      <c r="B1066"/>
    </row>
    <row r="1067" spans="2:2" x14ac:dyDescent="0.35">
      <c r="B1067"/>
    </row>
    <row r="1068" spans="2:2" x14ac:dyDescent="0.35">
      <c r="B1068"/>
    </row>
    <row r="1069" spans="2:2" x14ac:dyDescent="0.35">
      <c r="B1069"/>
    </row>
    <row r="1070" spans="2:2" x14ac:dyDescent="0.35">
      <c r="B1070"/>
    </row>
    <row r="1071" spans="2:2" x14ac:dyDescent="0.35">
      <c r="B1071"/>
    </row>
    <row r="1072" spans="2:2" x14ac:dyDescent="0.35">
      <c r="B1072"/>
    </row>
    <row r="1073" spans="2:2" x14ac:dyDescent="0.35">
      <c r="B1073"/>
    </row>
    <row r="1074" spans="2:2" x14ac:dyDescent="0.35">
      <c r="B1074"/>
    </row>
    <row r="1075" spans="2:2" x14ac:dyDescent="0.35">
      <c r="B1075"/>
    </row>
    <row r="1076" spans="2:2" x14ac:dyDescent="0.35">
      <c r="B1076"/>
    </row>
    <row r="1077" spans="2:2" x14ac:dyDescent="0.35">
      <c r="B1077"/>
    </row>
    <row r="1078" spans="2:2" x14ac:dyDescent="0.35">
      <c r="B1078"/>
    </row>
    <row r="1079" spans="2:2" x14ac:dyDescent="0.35">
      <c r="B1079"/>
    </row>
    <row r="1080" spans="2:2" x14ac:dyDescent="0.35">
      <c r="B1080"/>
    </row>
    <row r="1081" spans="2:2" x14ac:dyDescent="0.35">
      <c r="B1081"/>
    </row>
    <row r="1082" spans="2:2" x14ac:dyDescent="0.35">
      <c r="B1082"/>
    </row>
    <row r="1083" spans="2:2" x14ac:dyDescent="0.35">
      <c r="B1083"/>
    </row>
    <row r="1084" spans="2:2" x14ac:dyDescent="0.35">
      <c r="B1084"/>
    </row>
    <row r="1085" spans="2:2" x14ac:dyDescent="0.35">
      <c r="B1085"/>
    </row>
    <row r="1086" spans="2:2" x14ac:dyDescent="0.35">
      <c r="B1086"/>
    </row>
    <row r="1087" spans="2:2" x14ac:dyDescent="0.35">
      <c r="B1087"/>
    </row>
    <row r="1088" spans="2:2" x14ac:dyDescent="0.35">
      <c r="B1088"/>
    </row>
    <row r="1089" spans="2:2" x14ac:dyDescent="0.35">
      <c r="B1089"/>
    </row>
    <row r="1090" spans="2:2" x14ac:dyDescent="0.35">
      <c r="B1090"/>
    </row>
    <row r="1091" spans="2:2" x14ac:dyDescent="0.35">
      <c r="B1091"/>
    </row>
    <row r="1092" spans="2:2" x14ac:dyDescent="0.35">
      <c r="B1092"/>
    </row>
    <row r="1093" spans="2:2" x14ac:dyDescent="0.35">
      <c r="B1093"/>
    </row>
    <row r="1094" spans="2:2" x14ac:dyDescent="0.35">
      <c r="B1094"/>
    </row>
    <row r="1095" spans="2:2" x14ac:dyDescent="0.35">
      <c r="B1095"/>
    </row>
    <row r="1096" spans="2:2" x14ac:dyDescent="0.35">
      <c r="B1096"/>
    </row>
    <row r="1097" spans="2:2" x14ac:dyDescent="0.35">
      <c r="B1097"/>
    </row>
    <row r="1098" spans="2:2" x14ac:dyDescent="0.35">
      <c r="B1098"/>
    </row>
    <row r="1099" spans="2:2" x14ac:dyDescent="0.35">
      <c r="B1099"/>
    </row>
    <row r="1100" spans="2:2" x14ac:dyDescent="0.35">
      <c r="B1100"/>
    </row>
    <row r="1101" spans="2:2" x14ac:dyDescent="0.35">
      <c r="B1101"/>
    </row>
    <row r="1102" spans="2:2" x14ac:dyDescent="0.35">
      <c r="B1102"/>
    </row>
    <row r="1103" spans="2:2" x14ac:dyDescent="0.35">
      <c r="B1103"/>
    </row>
    <row r="1104" spans="2:2" x14ac:dyDescent="0.35">
      <c r="B1104"/>
    </row>
    <row r="1105" spans="2:2" x14ac:dyDescent="0.35">
      <c r="B1105"/>
    </row>
    <row r="1106" spans="2:2" x14ac:dyDescent="0.35">
      <c r="B1106"/>
    </row>
    <row r="1107" spans="2:2" x14ac:dyDescent="0.35">
      <c r="B1107"/>
    </row>
    <row r="1108" spans="2:2" x14ac:dyDescent="0.35">
      <c r="B1108"/>
    </row>
    <row r="1109" spans="2:2" x14ac:dyDescent="0.35">
      <c r="B1109"/>
    </row>
    <row r="1110" spans="2:2" x14ac:dyDescent="0.35">
      <c r="B1110"/>
    </row>
    <row r="1111" spans="2:2" x14ac:dyDescent="0.35">
      <c r="B1111"/>
    </row>
    <row r="1112" spans="2:2" x14ac:dyDescent="0.35">
      <c r="B1112"/>
    </row>
    <row r="1113" spans="2:2" x14ac:dyDescent="0.35">
      <c r="B1113"/>
    </row>
    <row r="1114" spans="2:2" x14ac:dyDescent="0.35">
      <c r="B1114"/>
    </row>
    <row r="1115" spans="2:2" x14ac:dyDescent="0.35">
      <c r="B1115"/>
    </row>
    <row r="1116" spans="2:2" x14ac:dyDescent="0.35">
      <c r="B1116"/>
    </row>
    <row r="1117" spans="2:2" x14ac:dyDescent="0.35">
      <c r="B1117"/>
    </row>
    <row r="1118" spans="2:2" x14ac:dyDescent="0.35">
      <c r="B1118"/>
    </row>
    <row r="1119" spans="2:2" x14ac:dyDescent="0.35">
      <c r="B1119"/>
    </row>
    <row r="1120" spans="2:2" x14ac:dyDescent="0.35">
      <c r="B1120"/>
    </row>
    <row r="1121" spans="2:2" x14ac:dyDescent="0.35">
      <c r="B1121"/>
    </row>
    <row r="1122" spans="2:2" x14ac:dyDescent="0.35">
      <c r="B1122"/>
    </row>
    <row r="1123" spans="2:2" x14ac:dyDescent="0.35">
      <c r="B1123"/>
    </row>
    <row r="1124" spans="2:2" x14ac:dyDescent="0.35">
      <c r="B1124"/>
    </row>
    <row r="1125" spans="2:2" x14ac:dyDescent="0.35">
      <c r="B1125"/>
    </row>
    <row r="1126" spans="2:2" x14ac:dyDescent="0.35">
      <c r="B1126"/>
    </row>
    <row r="1127" spans="2:2" x14ac:dyDescent="0.35">
      <c r="B1127"/>
    </row>
    <row r="1128" spans="2:2" x14ac:dyDescent="0.35">
      <c r="B1128"/>
    </row>
    <row r="1129" spans="2:2" x14ac:dyDescent="0.35">
      <c r="B1129"/>
    </row>
    <row r="1130" spans="2:2" x14ac:dyDescent="0.35">
      <c r="B1130"/>
    </row>
    <row r="1131" spans="2:2" x14ac:dyDescent="0.35">
      <c r="B1131"/>
    </row>
    <row r="1132" spans="2:2" x14ac:dyDescent="0.35">
      <c r="B1132"/>
    </row>
    <row r="1133" spans="2:2" x14ac:dyDescent="0.35">
      <c r="B1133"/>
    </row>
    <row r="1134" spans="2:2" x14ac:dyDescent="0.35">
      <c r="B1134"/>
    </row>
    <row r="1135" spans="2:2" x14ac:dyDescent="0.35">
      <c r="B1135"/>
    </row>
    <row r="1136" spans="2:2" x14ac:dyDescent="0.35">
      <c r="B1136"/>
    </row>
    <row r="1137" spans="2:2" x14ac:dyDescent="0.35">
      <c r="B1137"/>
    </row>
    <row r="1138" spans="2:2" x14ac:dyDescent="0.35">
      <c r="B1138"/>
    </row>
    <row r="1139" spans="2:2" x14ac:dyDescent="0.35">
      <c r="B1139"/>
    </row>
    <row r="1140" spans="2:2" x14ac:dyDescent="0.35">
      <c r="B1140"/>
    </row>
    <row r="1141" spans="2:2" x14ac:dyDescent="0.35">
      <c r="B1141"/>
    </row>
    <row r="1142" spans="2:2" x14ac:dyDescent="0.35">
      <c r="B1142"/>
    </row>
    <row r="1143" spans="2:2" x14ac:dyDescent="0.35">
      <c r="B1143"/>
    </row>
    <row r="1144" spans="2:2" x14ac:dyDescent="0.35">
      <c r="B1144"/>
    </row>
    <row r="1145" spans="2:2" x14ac:dyDescent="0.35">
      <c r="B1145"/>
    </row>
    <row r="1146" spans="2:2" x14ac:dyDescent="0.35">
      <c r="B1146"/>
    </row>
    <row r="1147" spans="2:2" x14ac:dyDescent="0.35">
      <c r="B1147"/>
    </row>
    <row r="1148" spans="2:2" x14ac:dyDescent="0.35">
      <c r="B1148"/>
    </row>
    <row r="1149" spans="2:2" x14ac:dyDescent="0.35">
      <c r="B1149"/>
    </row>
    <row r="1150" spans="2:2" x14ac:dyDescent="0.35">
      <c r="B1150"/>
    </row>
    <row r="1151" spans="2:2" x14ac:dyDescent="0.35">
      <c r="B1151"/>
    </row>
    <row r="1152" spans="2:2" x14ac:dyDescent="0.35">
      <c r="B1152"/>
    </row>
    <row r="1153" spans="2:2" x14ac:dyDescent="0.35">
      <c r="B1153"/>
    </row>
    <row r="1154" spans="2:2" x14ac:dyDescent="0.35">
      <c r="B1154"/>
    </row>
    <row r="1155" spans="2:2" x14ac:dyDescent="0.35">
      <c r="B1155"/>
    </row>
    <row r="1156" spans="2:2" x14ac:dyDescent="0.35">
      <c r="B1156"/>
    </row>
    <row r="1157" spans="2:2" x14ac:dyDescent="0.35">
      <c r="B1157"/>
    </row>
    <row r="1158" spans="2:2" x14ac:dyDescent="0.35">
      <c r="B1158"/>
    </row>
    <row r="1159" spans="2:2" x14ac:dyDescent="0.35">
      <c r="B1159"/>
    </row>
    <row r="1160" spans="2:2" x14ac:dyDescent="0.35">
      <c r="B1160"/>
    </row>
    <row r="1161" spans="2:2" x14ac:dyDescent="0.35">
      <c r="B1161"/>
    </row>
    <row r="1162" spans="2:2" x14ac:dyDescent="0.35">
      <c r="B1162"/>
    </row>
    <row r="1163" spans="2:2" x14ac:dyDescent="0.35">
      <c r="B1163"/>
    </row>
    <row r="1164" spans="2:2" x14ac:dyDescent="0.35">
      <c r="B1164"/>
    </row>
    <row r="1165" spans="2:2" x14ac:dyDescent="0.35">
      <c r="B1165"/>
    </row>
    <row r="1166" spans="2:2" x14ac:dyDescent="0.35">
      <c r="B1166"/>
    </row>
    <row r="1167" spans="2:2" x14ac:dyDescent="0.35">
      <c r="B1167"/>
    </row>
    <row r="1168" spans="2:2" x14ac:dyDescent="0.35">
      <c r="B1168"/>
    </row>
    <row r="1169" spans="2:2" x14ac:dyDescent="0.35">
      <c r="B1169"/>
    </row>
    <row r="1170" spans="2:2" x14ac:dyDescent="0.35">
      <c r="B1170"/>
    </row>
    <row r="1171" spans="2:2" x14ac:dyDescent="0.35">
      <c r="B1171"/>
    </row>
    <row r="1172" spans="2:2" x14ac:dyDescent="0.35">
      <c r="B1172"/>
    </row>
    <row r="1173" spans="2:2" x14ac:dyDescent="0.35">
      <c r="B1173"/>
    </row>
    <row r="1174" spans="2:2" x14ac:dyDescent="0.35">
      <c r="B1174"/>
    </row>
    <row r="1175" spans="2:2" x14ac:dyDescent="0.35">
      <c r="B1175"/>
    </row>
    <row r="1176" spans="2:2" x14ac:dyDescent="0.35">
      <c r="B1176"/>
    </row>
    <row r="1177" spans="2:2" x14ac:dyDescent="0.35">
      <c r="B1177"/>
    </row>
    <row r="1178" spans="2:2" x14ac:dyDescent="0.35">
      <c r="B1178"/>
    </row>
    <row r="1179" spans="2:2" x14ac:dyDescent="0.35">
      <c r="B1179"/>
    </row>
    <row r="1180" spans="2:2" x14ac:dyDescent="0.35">
      <c r="B1180"/>
    </row>
    <row r="1181" spans="2:2" x14ac:dyDescent="0.35">
      <c r="B1181"/>
    </row>
    <row r="1182" spans="2:2" x14ac:dyDescent="0.35">
      <c r="B1182"/>
    </row>
    <row r="1183" spans="2:2" x14ac:dyDescent="0.35">
      <c r="B1183"/>
    </row>
    <row r="1184" spans="2:2" x14ac:dyDescent="0.35">
      <c r="B1184"/>
    </row>
    <row r="1185" spans="2:2" x14ac:dyDescent="0.35">
      <c r="B1185"/>
    </row>
    <row r="1186" spans="2:2" x14ac:dyDescent="0.35">
      <c r="B1186"/>
    </row>
    <row r="1187" spans="2:2" x14ac:dyDescent="0.35">
      <c r="B1187"/>
    </row>
    <row r="1188" spans="2:2" x14ac:dyDescent="0.35">
      <c r="B1188"/>
    </row>
    <row r="1189" spans="2:2" x14ac:dyDescent="0.35">
      <c r="B1189"/>
    </row>
    <row r="1190" spans="2:2" x14ac:dyDescent="0.35">
      <c r="B1190"/>
    </row>
    <row r="1191" spans="2:2" x14ac:dyDescent="0.35">
      <c r="B1191"/>
    </row>
    <row r="1192" spans="2:2" x14ac:dyDescent="0.35">
      <c r="B1192"/>
    </row>
    <row r="1193" spans="2:2" x14ac:dyDescent="0.35">
      <c r="B1193"/>
    </row>
    <row r="1194" spans="2:2" x14ac:dyDescent="0.35">
      <c r="B1194"/>
    </row>
    <row r="1195" spans="2:2" x14ac:dyDescent="0.35">
      <c r="B1195"/>
    </row>
    <row r="1196" spans="2:2" x14ac:dyDescent="0.35">
      <c r="B1196"/>
    </row>
    <row r="1197" spans="2:2" x14ac:dyDescent="0.35">
      <c r="B1197"/>
    </row>
    <row r="1198" spans="2:2" x14ac:dyDescent="0.35">
      <c r="B1198"/>
    </row>
    <row r="1199" spans="2:2" x14ac:dyDescent="0.35">
      <c r="B1199"/>
    </row>
    <row r="1200" spans="2:2" x14ac:dyDescent="0.35">
      <c r="B1200"/>
    </row>
    <row r="1201" spans="2:2" x14ac:dyDescent="0.35">
      <c r="B1201"/>
    </row>
    <row r="1202" spans="2:2" x14ac:dyDescent="0.35">
      <c r="B1202"/>
    </row>
    <row r="1203" spans="2:2" x14ac:dyDescent="0.35">
      <c r="B1203"/>
    </row>
    <row r="1204" spans="2:2" x14ac:dyDescent="0.35">
      <c r="B1204"/>
    </row>
    <row r="1205" spans="2:2" x14ac:dyDescent="0.35">
      <c r="B1205"/>
    </row>
    <row r="1206" spans="2:2" x14ac:dyDescent="0.35">
      <c r="B1206"/>
    </row>
    <row r="1207" spans="2:2" x14ac:dyDescent="0.35">
      <c r="B1207"/>
    </row>
    <row r="1208" spans="2:2" x14ac:dyDescent="0.35">
      <c r="B1208"/>
    </row>
    <row r="1209" spans="2:2" x14ac:dyDescent="0.35">
      <c r="B1209"/>
    </row>
    <row r="1210" spans="2:2" x14ac:dyDescent="0.35">
      <c r="B1210"/>
    </row>
    <row r="1211" spans="2:2" x14ac:dyDescent="0.35">
      <c r="B1211"/>
    </row>
    <row r="1212" spans="2:2" x14ac:dyDescent="0.35">
      <c r="B1212"/>
    </row>
    <row r="1213" spans="2:2" x14ac:dyDescent="0.35">
      <c r="B1213"/>
    </row>
    <row r="1214" spans="2:2" x14ac:dyDescent="0.35">
      <c r="B1214"/>
    </row>
    <row r="1215" spans="2:2" x14ac:dyDescent="0.35">
      <c r="B1215"/>
    </row>
    <row r="1216" spans="2:2" x14ac:dyDescent="0.35">
      <c r="B1216"/>
    </row>
    <row r="1217" spans="2:2" x14ac:dyDescent="0.35">
      <c r="B1217"/>
    </row>
    <row r="1218" spans="2:2" x14ac:dyDescent="0.35">
      <c r="B1218"/>
    </row>
    <row r="1219" spans="2:2" x14ac:dyDescent="0.35">
      <c r="B1219"/>
    </row>
    <row r="1220" spans="2:2" x14ac:dyDescent="0.35">
      <c r="B1220"/>
    </row>
    <row r="1221" spans="2:2" x14ac:dyDescent="0.35">
      <c r="B1221"/>
    </row>
    <row r="1222" spans="2:2" x14ac:dyDescent="0.35">
      <c r="B1222"/>
    </row>
    <row r="1223" spans="2:2" x14ac:dyDescent="0.35">
      <c r="B1223"/>
    </row>
    <row r="1224" spans="2:2" x14ac:dyDescent="0.35">
      <c r="B1224"/>
    </row>
    <row r="1225" spans="2:2" x14ac:dyDescent="0.35">
      <c r="B1225"/>
    </row>
    <row r="1226" spans="2:2" x14ac:dyDescent="0.35">
      <c r="B1226"/>
    </row>
    <row r="1227" spans="2:2" x14ac:dyDescent="0.35">
      <c r="B1227"/>
    </row>
    <row r="1228" spans="2:2" x14ac:dyDescent="0.35">
      <c r="B1228"/>
    </row>
    <row r="1229" spans="2:2" x14ac:dyDescent="0.35">
      <c r="B1229"/>
    </row>
    <row r="1230" spans="2:2" x14ac:dyDescent="0.35">
      <c r="B1230"/>
    </row>
    <row r="1231" spans="2:2" x14ac:dyDescent="0.35">
      <c r="B1231"/>
    </row>
    <row r="1232" spans="2:2" x14ac:dyDescent="0.35">
      <c r="B1232"/>
    </row>
    <row r="1233" spans="2:2" x14ac:dyDescent="0.35">
      <c r="B1233"/>
    </row>
    <row r="1234" spans="2:2" x14ac:dyDescent="0.35">
      <c r="B1234"/>
    </row>
    <row r="1235" spans="2:2" x14ac:dyDescent="0.35">
      <c r="B1235"/>
    </row>
    <row r="1236" spans="2:2" x14ac:dyDescent="0.35">
      <c r="B1236"/>
    </row>
    <row r="1237" spans="2:2" x14ac:dyDescent="0.35">
      <c r="B1237"/>
    </row>
    <row r="1238" spans="2:2" x14ac:dyDescent="0.35">
      <c r="B1238"/>
    </row>
    <row r="1239" spans="2:2" x14ac:dyDescent="0.35">
      <c r="B1239"/>
    </row>
    <row r="1240" spans="2:2" x14ac:dyDescent="0.35">
      <c r="B1240"/>
    </row>
    <row r="1241" spans="2:2" x14ac:dyDescent="0.35">
      <c r="B1241"/>
    </row>
    <row r="1242" spans="2:2" x14ac:dyDescent="0.35">
      <c r="B1242"/>
    </row>
    <row r="1243" spans="2:2" x14ac:dyDescent="0.35">
      <c r="B1243"/>
    </row>
    <row r="1244" spans="2:2" x14ac:dyDescent="0.35">
      <c r="B1244"/>
    </row>
    <row r="1245" spans="2:2" x14ac:dyDescent="0.35">
      <c r="B1245"/>
    </row>
    <row r="1246" spans="2:2" x14ac:dyDescent="0.35">
      <c r="B1246"/>
    </row>
    <row r="1247" spans="2:2" x14ac:dyDescent="0.35">
      <c r="B1247"/>
    </row>
    <row r="1248" spans="2:2" x14ac:dyDescent="0.35">
      <c r="B1248"/>
    </row>
    <row r="1249" spans="2:2" x14ac:dyDescent="0.35">
      <c r="B1249"/>
    </row>
    <row r="1250" spans="2:2" x14ac:dyDescent="0.35">
      <c r="B1250"/>
    </row>
    <row r="1251" spans="2:2" x14ac:dyDescent="0.35">
      <c r="B1251"/>
    </row>
    <row r="1252" spans="2:2" x14ac:dyDescent="0.35">
      <c r="B1252"/>
    </row>
    <row r="1253" spans="2:2" x14ac:dyDescent="0.35">
      <c r="B1253"/>
    </row>
    <row r="1254" spans="2:2" x14ac:dyDescent="0.35">
      <c r="B1254"/>
    </row>
    <row r="1255" spans="2:2" x14ac:dyDescent="0.35">
      <c r="B1255"/>
    </row>
    <row r="1256" spans="2:2" x14ac:dyDescent="0.35">
      <c r="B1256"/>
    </row>
    <row r="1257" spans="2:2" x14ac:dyDescent="0.35">
      <c r="B1257"/>
    </row>
    <row r="1258" spans="2:2" x14ac:dyDescent="0.35">
      <c r="B1258"/>
    </row>
    <row r="1259" spans="2:2" x14ac:dyDescent="0.35">
      <c r="B1259"/>
    </row>
    <row r="1260" spans="2:2" x14ac:dyDescent="0.35">
      <c r="B1260"/>
    </row>
    <row r="1261" spans="2:2" x14ac:dyDescent="0.35">
      <c r="B1261"/>
    </row>
    <row r="1262" spans="2:2" x14ac:dyDescent="0.35">
      <c r="B1262"/>
    </row>
    <row r="1263" spans="2:2" x14ac:dyDescent="0.35">
      <c r="B1263"/>
    </row>
    <row r="1264" spans="2:2" x14ac:dyDescent="0.35">
      <c r="B1264"/>
    </row>
    <row r="1265" spans="2:2" x14ac:dyDescent="0.35">
      <c r="B1265"/>
    </row>
    <row r="1266" spans="2:2" x14ac:dyDescent="0.35">
      <c r="B1266"/>
    </row>
    <row r="1267" spans="2:2" x14ac:dyDescent="0.35">
      <c r="B1267"/>
    </row>
    <row r="1268" spans="2:2" x14ac:dyDescent="0.35">
      <c r="B1268"/>
    </row>
    <row r="1269" spans="2:2" x14ac:dyDescent="0.35">
      <c r="B1269"/>
    </row>
    <row r="1270" spans="2:2" x14ac:dyDescent="0.35">
      <c r="B1270"/>
    </row>
    <row r="1271" spans="2:2" x14ac:dyDescent="0.35">
      <c r="B1271"/>
    </row>
    <row r="1272" spans="2:2" x14ac:dyDescent="0.35">
      <c r="B1272"/>
    </row>
    <row r="1273" spans="2:2" x14ac:dyDescent="0.35">
      <c r="B1273"/>
    </row>
    <row r="1274" spans="2:2" x14ac:dyDescent="0.35">
      <c r="B1274"/>
    </row>
    <row r="1275" spans="2:2" x14ac:dyDescent="0.35">
      <c r="B1275"/>
    </row>
    <row r="1276" spans="2:2" x14ac:dyDescent="0.35">
      <c r="B1276"/>
    </row>
    <row r="1277" spans="2:2" x14ac:dyDescent="0.35">
      <c r="B1277"/>
    </row>
    <row r="1278" spans="2:2" x14ac:dyDescent="0.35">
      <c r="B1278"/>
    </row>
    <row r="1279" spans="2:2" x14ac:dyDescent="0.35">
      <c r="B1279"/>
    </row>
    <row r="1280" spans="2:2" x14ac:dyDescent="0.35">
      <c r="B1280"/>
    </row>
    <row r="1281" spans="2:2" x14ac:dyDescent="0.35">
      <c r="B1281"/>
    </row>
    <row r="1282" spans="2:2" x14ac:dyDescent="0.35">
      <c r="B1282"/>
    </row>
    <row r="1283" spans="2:2" x14ac:dyDescent="0.35">
      <c r="B1283"/>
    </row>
    <row r="1284" spans="2:2" x14ac:dyDescent="0.35">
      <c r="B1284"/>
    </row>
    <row r="1285" spans="2:2" x14ac:dyDescent="0.35">
      <c r="B1285"/>
    </row>
    <row r="1286" spans="2:2" x14ac:dyDescent="0.35">
      <c r="B1286"/>
    </row>
    <row r="1287" spans="2:2" x14ac:dyDescent="0.35">
      <c r="B1287"/>
    </row>
    <row r="1288" spans="2:2" x14ac:dyDescent="0.35">
      <c r="B1288"/>
    </row>
    <row r="1289" spans="2:2" x14ac:dyDescent="0.35">
      <c r="B1289"/>
    </row>
    <row r="1290" spans="2:2" x14ac:dyDescent="0.35">
      <c r="B1290"/>
    </row>
    <row r="1291" spans="2:2" x14ac:dyDescent="0.35">
      <c r="B1291"/>
    </row>
    <row r="1292" spans="2:2" x14ac:dyDescent="0.35">
      <c r="B1292"/>
    </row>
    <row r="1293" spans="2:2" x14ac:dyDescent="0.35">
      <c r="B1293"/>
    </row>
    <row r="1294" spans="2:2" x14ac:dyDescent="0.35">
      <c r="B1294"/>
    </row>
    <row r="1295" spans="2:2" x14ac:dyDescent="0.35">
      <c r="B1295"/>
    </row>
    <row r="1296" spans="2:2" x14ac:dyDescent="0.35">
      <c r="B1296"/>
    </row>
    <row r="1297" spans="2:2" x14ac:dyDescent="0.35">
      <c r="B1297"/>
    </row>
    <row r="1298" spans="2:2" x14ac:dyDescent="0.35">
      <c r="B1298"/>
    </row>
    <row r="1299" spans="2:2" x14ac:dyDescent="0.35">
      <c r="B1299"/>
    </row>
    <row r="1300" spans="2:2" x14ac:dyDescent="0.35">
      <c r="B1300"/>
    </row>
    <row r="1301" spans="2:2" x14ac:dyDescent="0.35">
      <c r="B1301"/>
    </row>
    <row r="1302" spans="2:2" x14ac:dyDescent="0.35">
      <c r="B1302"/>
    </row>
    <row r="1303" spans="2:2" x14ac:dyDescent="0.35">
      <c r="B1303"/>
    </row>
    <row r="1304" spans="2:2" x14ac:dyDescent="0.35">
      <c r="B1304"/>
    </row>
    <row r="1305" spans="2:2" x14ac:dyDescent="0.35">
      <c r="B1305"/>
    </row>
    <row r="1306" spans="2:2" x14ac:dyDescent="0.35">
      <c r="B1306"/>
    </row>
    <row r="1307" spans="2:2" x14ac:dyDescent="0.35">
      <c r="B1307"/>
    </row>
    <row r="1308" spans="2:2" x14ac:dyDescent="0.35">
      <c r="B1308"/>
    </row>
    <row r="1309" spans="2:2" x14ac:dyDescent="0.35">
      <c r="B1309"/>
    </row>
    <row r="1310" spans="2:2" x14ac:dyDescent="0.35">
      <c r="B1310"/>
    </row>
    <row r="1311" spans="2:2" x14ac:dyDescent="0.35">
      <c r="B1311"/>
    </row>
    <row r="1312" spans="2:2" x14ac:dyDescent="0.35">
      <c r="B1312"/>
    </row>
    <row r="1313" spans="2:2" x14ac:dyDescent="0.35">
      <c r="B1313"/>
    </row>
    <row r="1314" spans="2:2" x14ac:dyDescent="0.35">
      <c r="B1314"/>
    </row>
    <row r="1315" spans="2:2" x14ac:dyDescent="0.35">
      <c r="B1315"/>
    </row>
    <row r="1316" spans="2:2" x14ac:dyDescent="0.35">
      <c r="B1316"/>
    </row>
    <row r="1317" spans="2:2" x14ac:dyDescent="0.35">
      <c r="B1317"/>
    </row>
    <row r="1318" spans="2:2" x14ac:dyDescent="0.35">
      <c r="B1318"/>
    </row>
    <row r="1319" spans="2:2" x14ac:dyDescent="0.35">
      <c r="B1319"/>
    </row>
    <row r="1320" spans="2:2" x14ac:dyDescent="0.35">
      <c r="B1320"/>
    </row>
    <row r="1321" spans="2:2" x14ac:dyDescent="0.35">
      <c r="B1321"/>
    </row>
    <row r="1322" spans="2:2" x14ac:dyDescent="0.35">
      <c r="B1322"/>
    </row>
    <row r="1323" spans="2:2" x14ac:dyDescent="0.35">
      <c r="B1323"/>
    </row>
    <row r="1324" spans="2:2" x14ac:dyDescent="0.35">
      <c r="B1324"/>
    </row>
    <row r="1325" spans="2:2" x14ac:dyDescent="0.35">
      <c r="B1325"/>
    </row>
    <row r="1326" spans="2:2" x14ac:dyDescent="0.35">
      <c r="B1326"/>
    </row>
    <row r="1327" spans="2:2" x14ac:dyDescent="0.35">
      <c r="B1327"/>
    </row>
    <row r="1328" spans="2:2" x14ac:dyDescent="0.35">
      <c r="B1328"/>
    </row>
    <row r="1329" spans="2:2" x14ac:dyDescent="0.35">
      <c r="B1329"/>
    </row>
    <row r="1330" spans="2:2" x14ac:dyDescent="0.35">
      <c r="B1330"/>
    </row>
    <row r="1331" spans="2:2" x14ac:dyDescent="0.35">
      <c r="B1331"/>
    </row>
    <row r="1332" spans="2:2" x14ac:dyDescent="0.35">
      <c r="B1332"/>
    </row>
    <row r="1333" spans="2:2" x14ac:dyDescent="0.35">
      <c r="B1333"/>
    </row>
    <row r="1334" spans="2:2" x14ac:dyDescent="0.35">
      <c r="B1334"/>
    </row>
    <row r="1335" spans="2:2" x14ac:dyDescent="0.35">
      <c r="B1335"/>
    </row>
    <row r="1336" spans="2:2" x14ac:dyDescent="0.35">
      <c r="B1336"/>
    </row>
    <row r="1337" spans="2:2" x14ac:dyDescent="0.35">
      <c r="B1337"/>
    </row>
    <row r="1338" spans="2:2" x14ac:dyDescent="0.35">
      <c r="B1338"/>
    </row>
    <row r="1339" spans="2:2" x14ac:dyDescent="0.35">
      <c r="B1339"/>
    </row>
    <row r="1340" spans="2:2" x14ac:dyDescent="0.35">
      <c r="B1340"/>
    </row>
    <row r="1341" spans="2:2" x14ac:dyDescent="0.35">
      <c r="B1341"/>
    </row>
    <row r="1342" spans="2:2" x14ac:dyDescent="0.35">
      <c r="B1342"/>
    </row>
    <row r="1343" spans="2:2" x14ac:dyDescent="0.35">
      <c r="B1343"/>
    </row>
    <row r="1344" spans="2:2" x14ac:dyDescent="0.35">
      <c r="B1344"/>
    </row>
    <row r="1345" spans="2:2" x14ac:dyDescent="0.35">
      <c r="B1345"/>
    </row>
    <row r="1346" spans="2:2" x14ac:dyDescent="0.35">
      <c r="B1346"/>
    </row>
    <row r="1347" spans="2:2" x14ac:dyDescent="0.35">
      <c r="B1347"/>
    </row>
    <row r="1348" spans="2:2" x14ac:dyDescent="0.35">
      <c r="B1348"/>
    </row>
    <row r="1349" spans="2:2" x14ac:dyDescent="0.35">
      <c r="B1349"/>
    </row>
    <row r="1350" spans="2:2" x14ac:dyDescent="0.35">
      <c r="B1350"/>
    </row>
    <row r="1351" spans="2:2" x14ac:dyDescent="0.35">
      <c r="B1351"/>
    </row>
    <row r="1352" spans="2:2" x14ac:dyDescent="0.35">
      <c r="B1352"/>
    </row>
    <row r="1353" spans="2:2" x14ac:dyDescent="0.35">
      <c r="B1353"/>
    </row>
    <row r="1354" spans="2:2" x14ac:dyDescent="0.35">
      <c r="B1354"/>
    </row>
    <row r="1355" spans="2:2" x14ac:dyDescent="0.35">
      <c r="B1355"/>
    </row>
    <row r="1356" spans="2:2" x14ac:dyDescent="0.35">
      <c r="B1356"/>
    </row>
    <row r="1357" spans="2:2" x14ac:dyDescent="0.35">
      <c r="B1357"/>
    </row>
    <row r="1358" spans="2:2" x14ac:dyDescent="0.35">
      <c r="B1358"/>
    </row>
    <row r="1359" spans="2:2" x14ac:dyDescent="0.35">
      <c r="B1359"/>
    </row>
    <row r="1360" spans="2:2" x14ac:dyDescent="0.35">
      <c r="B1360"/>
    </row>
    <row r="1361" spans="2:2" x14ac:dyDescent="0.35">
      <c r="B1361"/>
    </row>
    <row r="1362" spans="2:2" x14ac:dyDescent="0.35">
      <c r="B1362"/>
    </row>
    <row r="1363" spans="2:2" x14ac:dyDescent="0.35">
      <c r="B1363"/>
    </row>
    <row r="1364" spans="2:2" x14ac:dyDescent="0.35">
      <c r="B1364"/>
    </row>
    <row r="1365" spans="2:2" x14ac:dyDescent="0.35">
      <c r="B1365"/>
    </row>
    <row r="1366" spans="2:2" x14ac:dyDescent="0.35">
      <c r="B1366"/>
    </row>
    <row r="1367" spans="2:2" x14ac:dyDescent="0.35">
      <c r="B1367"/>
    </row>
    <row r="1368" spans="2:2" x14ac:dyDescent="0.35">
      <c r="B1368"/>
    </row>
    <row r="1369" spans="2:2" x14ac:dyDescent="0.35">
      <c r="B1369"/>
    </row>
    <row r="1370" spans="2:2" x14ac:dyDescent="0.35">
      <c r="B1370"/>
    </row>
    <row r="1371" spans="2:2" x14ac:dyDescent="0.35">
      <c r="B1371"/>
    </row>
    <row r="1372" spans="2:2" x14ac:dyDescent="0.35">
      <c r="B1372"/>
    </row>
    <row r="1373" spans="2:2" x14ac:dyDescent="0.35">
      <c r="B1373"/>
    </row>
    <row r="1374" spans="2:2" x14ac:dyDescent="0.35">
      <c r="B1374"/>
    </row>
    <row r="1375" spans="2:2" x14ac:dyDescent="0.35">
      <c r="B1375"/>
    </row>
    <row r="1376" spans="2:2" x14ac:dyDescent="0.35">
      <c r="B1376"/>
    </row>
    <row r="1377" spans="2:2" x14ac:dyDescent="0.35">
      <c r="B1377"/>
    </row>
    <row r="1378" spans="2:2" x14ac:dyDescent="0.35">
      <c r="B1378"/>
    </row>
    <row r="1379" spans="2:2" x14ac:dyDescent="0.35">
      <c r="B1379"/>
    </row>
    <row r="1380" spans="2:2" x14ac:dyDescent="0.35">
      <c r="B1380"/>
    </row>
    <row r="1381" spans="2:2" x14ac:dyDescent="0.35">
      <c r="B1381"/>
    </row>
    <row r="1382" spans="2:2" x14ac:dyDescent="0.35">
      <c r="B1382"/>
    </row>
    <row r="1383" spans="2:2" x14ac:dyDescent="0.35">
      <c r="B1383"/>
    </row>
    <row r="1384" spans="2:2" x14ac:dyDescent="0.35">
      <c r="B1384"/>
    </row>
    <row r="1385" spans="2:2" x14ac:dyDescent="0.35">
      <c r="B1385"/>
    </row>
    <row r="1386" spans="2:2" x14ac:dyDescent="0.35">
      <c r="B1386"/>
    </row>
    <row r="1387" spans="2:2" x14ac:dyDescent="0.35">
      <c r="B1387"/>
    </row>
    <row r="1388" spans="2:2" x14ac:dyDescent="0.35">
      <c r="B1388"/>
    </row>
    <row r="1389" spans="2:2" x14ac:dyDescent="0.35">
      <c r="B1389"/>
    </row>
    <row r="1390" spans="2:2" x14ac:dyDescent="0.35">
      <c r="B1390"/>
    </row>
    <row r="1391" spans="2:2" x14ac:dyDescent="0.35">
      <c r="B1391"/>
    </row>
    <row r="1392" spans="2:2" x14ac:dyDescent="0.35">
      <c r="B1392"/>
    </row>
    <row r="1393" spans="2:2" x14ac:dyDescent="0.35">
      <c r="B1393"/>
    </row>
    <row r="1394" spans="2:2" x14ac:dyDescent="0.35">
      <c r="B1394"/>
    </row>
    <row r="1395" spans="2:2" x14ac:dyDescent="0.35">
      <c r="B1395"/>
    </row>
    <row r="1396" spans="2:2" x14ac:dyDescent="0.35">
      <c r="B1396"/>
    </row>
    <row r="1397" spans="2:2" x14ac:dyDescent="0.35">
      <c r="B1397"/>
    </row>
    <row r="1398" spans="2:2" x14ac:dyDescent="0.35">
      <c r="B1398"/>
    </row>
    <row r="1399" spans="2:2" x14ac:dyDescent="0.35">
      <c r="B1399"/>
    </row>
    <row r="1400" spans="2:2" x14ac:dyDescent="0.35">
      <c r="B1400"/>
    </row>
    <row r="1401" spans="2:2" x14ac:dyDescent="0.35">
      <c r="B1401"/>
    </row>
    <row r="1402" spans="2:2" x14ac:dyDescent="0.35">
      <c r="B1402"/>
    </row>
    <row r="1403" spans="2:2" x14ac:dyDescent="0.35">
      <c r="B1403"/>
    </row>
    <row r="1404" spans="2:2" x14ac:dyDescent="0.35">
      <c r="B1404"/>
    </row>
    <row r="1405" spans="2:2" x14ac:dyDescent="0.35">
      <c r="B1405"/>
    </row>
    <row r="1406" spans="2:2" x14ac:dyDescent="0.35">
      <c r="B1406"/>
    </row>
    <row r="1407" spans="2:2" x14ac:dyDescent="0.35">
      <c r="B1407"/>
    </row>
    <row r="1408" spans="2:2" x14ac:dyDescent="0.35">
      <c r="B1408"/>
    </row>
    <row r="1409" spans="2:2" x14ac:dyDescent="0.35">
      <c r="B1409"/>
    </row>
    <row r="1410" spans="2:2" x14ac:dyDescent="0.35">
      <c r="B1410"/>
    </row>
    <row r="1411" spans="2:2" x14ac:dyDescent="0.35">
      <c r="B1411"/>
    </row>
    <row r="1412" spans="2:2" x14ac:dyDescent="0.35">
      <c r="B1412"/>
    </row>
    <row r="1413" spans="2:2" x14ac:dyDescent="0.35">
      <c r="B1413"/>
    </row>
    <row r="1414" spans="2:2" x14ac:dyDescent="0.35">
      <c r="B1414"/>
    </row>
    <row r="1415" spans="2:2" x14ac:dyDescent="0.35">
      <c r="B1415"/>
    </row>
    <row r="1416" spans="2:2" x14ac:dyDescent="0.35">
      <c r="B1416"/>
    </row>
    <row r="1417" spans="2:2" x14ac:dyDescent="0.35">
      <c r="B1417"/>
    </row>
    <row r="1418" spans="2:2" x14ac:dyDescent="0.35">
      <c r="B1418"/>
    </row>
    <row r="1419" spans="2:2" x14ac:dyDescent="0.35">
      <c r="B1419"/>
    </row>
    <row r="1420" spans="2:2" x14ac:dyDescent="0.35">
      <c r="B1420"/>
    </row>
    <row r="1421" spans="2:2" x14ac:dyDescent="0.35">
      <c r="B1421"/>
    </row>
    <row r="1422" spans="2:2" x14ac:dyDescent="0.35">
      <c r="B1422"/>
    </row>
    <row r="1423" spans="2:2" x14ac:dyDescent="0.35">
      <c r="B1423"/>
    </row>
    <row r="1424" spans="2:2" x14ac:dyDescent="0.35">
      <c r="B1424"/>
    </row>
    <row r="1425" spans="2:2" x14ac:dyDescent="0.35">
      <c r="B1425"/>
    </row>
    <row r="1426" spans="2:2" x14ac:dyDescent="0.35">
      <c r="B1426"/>
    </row>
    <row r="1427" spans="2:2" x14ac:dyDescent="0.35">
      <c r="B1427"/>
    </row>
    <row r="1428" spans="2:2" x14ac:dyDescent="0.35">
      <c r="B1428"/>
    </row>
    <row r="1429" spans="2:2" x14ac:dyDescent="0.35">
      <c r="B1429"/>
    </row>
    <row r="1430" spans="2:2" x14ac:dyDescent="0.35">
      <c r="B1430"/>
    </row>
    <row r="1431" spans="2:2" x14ac:dyDescent="0.35">
      <c r="B1431"/>
    </row>
    <row r="1432" spans="2:2" x14ac:dyDescent="0.35">
      <c r="B1432"/>
    </row>
    <row r="1433" spans="2:2" x14ac:dyDescent="0.35">
      <c r="B1433"/>
    </row>
    <row r="1434" spans="2:2" x14ac:dyDescent="0.35">
      <c r="B1434"/>
    </row>
    <row r="1435" spans="2:2" x14ac:dyDescent="0.35">
      <c r="B1435"/>
    </row>
    <row r="1436" spans="2:2" x14ac:dyDescent="0.35">
      <c r="B1436"/>
    </row>
    <row r="1437" spans="2:2" x14ac:dyDescent="0.35">
      <c r="B1437"/>
    </row>
    <row r="1438" spans="2:2" x14ac:dyDescent="0.35">
      <c r="B1438"/>
    </row>
    <row r="1439" spans="2:2" x14ac:dyDescent="0.35">
      <c r="B1439"/>
    </row>
    <row r="1440" spans="2:2" x14ac:dyDescent="0.35">
      <c r="B1440"/>
    </row>
    <row r="1441" spans="2:2" x14ac:dyDescent="0.35">
      <c r="B1441"/>
    </row>
    <row r="1442" spans="2:2" x14ac:dyDescent="0.35">
      <c r="B1442"/>
    </row>
    <row r="1443" spans="2:2" x14ac:dyDescent="0.35">
      <c r="B1443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C2A8A-CFF3-4B49-A271-3A6CA8FF4FD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Catalogo Modelos</vt:lpstr>
      <vt:lpstr>Sku_retail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Gerardo Mendoza Najera [MOTODRIVE]</dc:creator>
  <cp:lastModifiedBy>Gerardo Mendoza Najera [MOTODRIVE]</cp:lastModifiedBy>
  <dcterms:created xsi:type="dcterms:W3CDTF">2026-02-25T19:18:01Z</dcterms:created>
  <dcterms:modified xsi:type="dcterms:W3CDTF">2026-04-05T05:50:41Z</dcterms:modified>
</cp:coreProperties>
</file>